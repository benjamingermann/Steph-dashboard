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ja\OneDrive\Documentos\Steph\"/>
    </mc:Choice>
  </mc:AlternateContent>
  <xr:revisionPtr revIDLastSave="0" documentId="8_{7A09BA41-DAC3-4A4F-A8F5-5644425CFA7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gistro por lote" sheetId="1" r:id="rId1"/>
    <sheet name="Seguimiento 60 Racks" sheetId="2" r:id="rId2"/>
    <sheet name="Resumen Ejecu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6" i="1" l="1"/>
  <c r="B15" i="1"/>
  <c r="A15" i="1"/>
  <c r="A14" i="1"/>
  <c r="B13" i="1"/>
  <c r="A13" i="1"/>
  <c r="D12" i="1"/>
  <c r="B12" i="1"/>
  <c r="A12" i="1"/>
  <c r="B11" i="1"/>
  <c r="A11" i="1"/>
  <c r="B10" i="1"/>
  <c r="A10" i="1"/>
  <c r="E7" i="3"/>
  <c r="D7" i="3"/>
  <c r="D6" i="3"/>
  <c r="D5" i="3"/>
  <c r="H65" i="2"/>
  <c r="I65" i="2" s="1"/>
  <c r="H64" i="2"/>
  <c r="I64" i="2" s="1"/>
  <c r="I63" i="2"/>
  <c r="H63" i="2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I55" i="2"/>
  <c r="H55" i="2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I47" i="2"/>
  <c r="H47" i="2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I39" i="2"/>
  <c r="H39" i="2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I31" i="2"/>
  <c r="H31" i="2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I23" i="2"/>
  <c r="H23" i="2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I15" i="2"/>
  <c r="H15" i="2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I7" i="2"/>
  <c r="H7" i="2"/>
  <c r="H6" i="2"/>
  <c r="I6" i="2" s="1"/>
  <c r="H3" i="2"/>
  <c r="E3" i="2"/>
  <c r="E18" i="3" s="1"/>
  <c r="R32" i="1"/>
  <c r="Q32" i="1"/>
  <c r="P32" i="1"/>
  <c r="O32" i="1"/>
  <c r="N32" i="1"/>
  <c r="S32" i="1" s="1"/>
  <c r="T32" i="1" s="1"/>
  <c r="U32" i="1" s="1"/>
  <c r="R31" i="1"/>
  <c r="Q31" i="1"/>
  <c r="P31" i="1"/>
  <c r="O31" i="1"/>
  <c r="N31" i="1"/>
  <c r="S31" i="1" s="1"/>
  <c r="T31" i="1" s="1"/>
  <c r="U31" i="1" s="1"/>
  <c r="R30" i="1"/>
  <c r="Q30" i="1"/>
  <c r="P30" i="1"/>
  <c r="O30" i="1"/>
  <c r="N30" i="1"/>
  <c r="S30" i="1" s="1"/>
  <c r="T30" i="1" s="1"/>
  <c r="U30" i="1" s="1"/>
  <c r="R29" i="1"/>
  <c r="Q29" i="1"/>
  <c r="P29" i="1"/>
  <c r="O29" i="1"/>
  <c r="N29" i="1"/>
  <c r="S29" i="1" s="1"/>
  <c r="T29" i="1" s="1"/>
  <c r="U29" i="1" s="1"/>
  <c r="R28" i="1"/>
  <c r="Q28" i="1"/>
  <c r="P28" i="1"/>
  <c r="O28" i="1"/>
  <c r="N28" i="1"/>
  <c r="S28" i="1" s="1"/>
  <c r="T28" i="1" s="1"/>
  <c r="U28" i="1" s="1"/>
  <c r="R27" i="1"/>
  <c r="Q27" i="1"/>
  <c r="P27" i="1"/>
  <c r="O27" i="1"/>
  <c r="N27" i="1"/>
  <c r="S27" i="1" s="1"/>
  <c r="T27" i="1" s="1"/>
  <c r="U27" i="1" s="1"/>
  <c r="R26" i="1"/>
  <c r="Q26" i="1"/>
  <c r="P26" i="1"/>
  <c r="O26" i="1"/>
  <c r="N26" i="1"/>
  <c r="S26" i="1" s="1"/>
  <c r="T26" i="1" s="1"/>
  <c r="U26" i="1" s="1"/>
  <c r="R25" i="1"/>
  <c r="Q25" i="1"/>
  <c r="P25" i="1"/>
  <c r="O25" i="1"/>
  <c r="N25" i="1"/>
  <c r="S25" i="1" s="1"/>
  <c r="T25" i="1" s="1"/>
  <c r="U25" i="1" s="1"/>
  <c r="R24" i="1"/>
  <c r="Q24" i="1"/>
  <c r="P24" i="1"/>
  <c r="O24" i="1"/>
  <c r="N24" i="1"/>
  <c r="S24" i="1" s="1"/>
  <c r="T24" i="1" s="1"/>
  <c r="U24" i="1" s="1"/>
  <c r="R23" i="1"/>
  <c r="Q23" i="1"/>
  <c r="P23" i="1"/>
  <c r="O23" i="1"/>
  <c r="N23" i="1"/>
  <c r="S23" i="1" s="1"/>
  <c r="T23" i="1" s="1"/>
  <c r="U23" i="1" s="1"/>
  <c r="R22" i="1"/>
  <c r="Q22" i="1"/>
  <c r="P22" i="1"/>
  <c r="O22" i="1"/>
  <c r="N22" i="1"/>
  <c r="S22" i="1" s="1"/>
  <c r="T22" i="1" s="1"/>
  <c r="U22" i="1" s="1"/>
  <c r="R21" i="1"/>
  <c r="Q21" i="1"/>
  <c r="P21" i="1"/>
  <c r="O21" i="1"/>
  <c r="N21" i="1"/>
  <c r="S21" i="1" s="1"/>
  <c r="T21" i="1" s="1"/>
  <c r="U21" i="1" s="1"/>
  <c r="R20" i="1"/>
  <c r="Q20" i="1"/>
  <c r="P20" i="1"/>
  <c r="O20" i="1"/>
  <c r="N20" i="1"/>
  <c r="S20" i="1" s="1"/>
  <c r="T20" i="1" s="1"/>
  <c r="U20" i="1" s="1"/>
  <c r="R19" i="1"/>
  <c r="Q19" i="1"/>
  <c r="P19" i="1"/>
  <c r="O19" i="1"/>
  <c r="N19" i="1"/>
  <c r="S19" i="1" s="1"/>
  <c r="T19" i="1" s="1"/>
  <c r="U19" i="1" s="1"/>
  <c r="R18" i="1"/>
  <c r="Q18" i="1"/>
  <c r="P18" i="1"/>
  <c r="O18" i="1"/>
  <c r="N18" i="1"/>
  <c r="S18" i="1" s="1"/>
  <c r="T18" i="1" s="1"/>
  <c r="U18" i="1" s="1"/>
  <c r="R17" i="1"/>
  <c r="Q17" i="1"/>
  <c r="P17" i="1"/>
  <c r="O17" i="1"/>
  <c r="N17" i="1"/>
  <c r="S17" i="1" s="1"/>
  <c r="T17" i="1" s="1"/>
  <c r="U17" i="1" s="1"/>
  <c r="R16" i="1"/>
  <c r="Q16" i="1"/>
  <c r="P16" i="1"/>
  <c r="O16" i="1"/>
  <c r="N16" i="1"/>
  <c r="R15" i="1"/>
  <c r="Q15" i="1"/>
  <c r="P15" i="1"/>
  <c r="O15" i="1"/>
  <c r="N15" i="1"/>
  <c r="S15" i="1" s="1"/>
  <c r="T15" i="1" s="1"/>
  <c r="U15" i="1" s="1"/>
  <c r="R14" i="1"/>
  <c r="Q14" i="1"/>
  <c r="P14" i="1"/>
  <c r="O14" i="1"/>
  <c r="N14" i="1"/>
  <c r="R13" i="1"/>
  <c r="Q13" i="1"/>
  <c r="P13" i="1"/>
  <c r="O13" i="1"/>
  <c r="N13" i="1"/>
  <c r="S13" i="1" s="1"/>
  <c r="T13" i="1" s="1"/>
  <c r="U13" i="1" s="1"/>
  <c r="R12" i="1"/>
  <c r="Q12" i="1"/>
  <c r="P12" i="1"/>
  <c r="O12" i="1"/>
  <c r="N12" i="1"/>
  <c r="S12" i="1" s="1"/>
  <c r="T12" i="1" s="1"/>
  <c r="U12" i="1" s="1"/>
  <c r="R11" i="1"/>
  <c r="Q11" i="1"/>
  <c r="P11" i="1"/>
  <c r="O11" i="1"/>
  <c r="N11" i="1"/>
  <c r="S11" i="1" s="1"/>
  <c r="T11" i="1" s="1"/>
  <c r="U11" i="1" s="1"/>
  <c r="R10" i="1"/>
  <c r="Q10" i="1"/>
  <c r="P10" i="1"/>
  <c r="O10" i="1"/>
  <c r="N10" i="1"/>
  <c r="R9" i="1"/>
  <c r="Q9" i="1"/>
  <c r="P9" i="1"/>
  <c r="P33" i="1" s="1"/>
  <c r="O9" i="1"/>
  <c r="N9" i="1"/>
  <c r="R8" i="1"/>
  <c r="Q8" i="1"/>
  <c r="P8" i="1"/>
  <c r="C7" i="3" s="1"/>
  <c r="O8" i="1"/>
  <c r="O33" i="1" s="1"/>
  <c r="N8" i="1"/>
  <c r="S16" i="1" l="1"/>
  <c r="T16" i="1" s="1"/>
  <c r="U16" i="1" s="1"/>
  <c r="S14" i="1"/>
  <c r="T14" i="1" s="1"/>
  <c r="U14" i="1" s="1"/>
  <c r="S10" i="1"/>
  <c r="T10" i="1" s="1"/>
  <c r="U10" i="1" s="1"/>
  <c r="E9" i="3"/>
  <c r="R33" i="1"/>
  <c r="C8" i="3"/>
  <c r="N33" i="1"/>
  <c r="S8" i="1"/>
  <c r="T8" i="1" s="1"/>
  <c r="C5" i="3"/>
  <c r="D8" i="3"/>
  <c r="Q33" i="1"/>
  <c r="E8" i="3"/>
  <c r="E5" i="3"/>
  <c r="S9" i="1"/>
  <c r="T9" i="1" s="1"/>
  <c r="U9" i="1" s="1"/>
  <c r="C9" i="3"/>
  <c r="C6" i="3"/>
  <c r="D9" i="3"/>
  <c r="E6" i="3"/>
  <c r="E17" i="3"/>
  <c r="G8" i="3" l="1"/>
  <c r="G6" i="3"/>
  <c r="F6" i="3"/>
  <c r="G9" i="3"/>
  <c r="F9" i="3"/>
  <c r="U8" i="1"/>
  <c r="U33" i="1" s="1"/>
  <c r="T33" i="1"/>
  <c r="F8" i="3"/>
  <c r="C10" i="3"/>
  <c r="G5" i="3"/>
  <c r="F5" i="3"/>
  <c r="S33" i="1"/>
  <c r="F7" i="3"/>
  <c r="G7" i="3"/>
  <c r="E16" i="3" l="1"/>
  <c r="E15" i="3"/>
  <c r="E14" i="3"/>
  <c r="D10" i="3"/>
</calcChain>
</file>

<file path=xl/sharedStrings.xml><?xml version="1.0" encoding="utf-8"?>
<sst xmlns="http://schemas.openxmlformats.org/spreadsheetml/2006/main" count="84" uniqueCount="73">
  <si>
    <t>STEPH – COVER ENGINE  |  CONTROL DE FABRICACIÓN  |  60 UNIDADES</t>
  </si>
  <si>
    <t>Registro de tiempos por lote · Procesos en paralelo permitidos · Todos los cortes propios (en planta)</t>
  </si>
  <si>
    <t>PROCESOS:</t>
  </si>
  <si>
    <t>1. CORTADORA MANUAL</t>
  </si>
  <si>
    <t>2. CORTE LÁSER</t>
  </si>
  <si>
    <t>3. CORTE ROUTER</t>
  </si>
  <si>
    <t>4. SOLDADO DE COMPONENTE</t>
  </si>
  <si>
    <t>5. UNIÓN DE COMPONENTES</t>
  </si>
  <si>
    <t>N° LOTE</t>
  </si>
  <si>
    <t>FECHA</t>
  </si>
  <si>
    <t>CANT.
RACKS</t>
  </si>
  <si>
    <t>CORTADORA MANUAL</t>
  </si>
  <si>
    <t>CORTE LÁSER</t>
  </si>
  <si>
    <t>CORTE ROUTER</t>
  </si>
  <si>
    <t>SOLD. COMPONENTE</t>
  </si>
  <si>
    <t>UNIÓN COMPONENTES</t>
  </si>
  <si>
    <t>TIEMPOS CALCULADOS (automático)</t>
  </si>
  <si>
    <t>INICIO</t>
  </si>
  <si>
    <t>FIN</t>
  </si>
  <si>
    <t>T.Cort.
Manual</t>
  </si>
  <si>
    <t>T.Láser</t>
  </si>
  <si>
    <t>T.Router</t>
  </si>
  <si>
    <t>T.Sold.
Comp.</t>
  </si>
  <si>
    <t>T.Unión
Comp.</t>
  </si>
  <si>
    <t>TOTAL
(min)</t>
  </si>
  <si>
    <t>TOTAL
(hs)</t>
  </si>
  <si>
    <t>RACKS/
Hora</t>
  </si>
  <si>
    <t>OBSERVACIONES</t>
  </si>
  <si>
    <t>TOTALES / PROMEDIOS</t>
  </si>
  <si>
    <t>SEGUIMIENTO INDIVIDUAL – 60 COVER ENGINE</t>
  </si>
  <si>
    <t>Estado de avance por rack. Marcar con ✓ cuando la etapa está completada.</t>
  </si>
  <si>
    <t>RACKS COMPLETADOS (todas las etapas ✓):</t>
  </si>
  <si>
    <t>de 60 racks</t>
  </si>
  <si>
    <t>N° RACK</t>
  </si>
  <si>
    <t>LOTE</t>
  </si>
  <si>
    <t>CORT.
MANUAL
✓</t>
  </si>
  <si>
    <t>CORTE
LÁSER
✓</t>
  </si>
  <si>
    <t>CORTE
ROUTER
✓</t>
  </si>
  <si>
    <t>SOLD.
COMP.
✓</t>
  </si>
  <si>
    <t>UNIÓN
COMP.
✓</t>
  </si>
  <si>
    <t>ETAPAS
OK</t>
  </si>
  <si>
    <t>ESTADO
FINAL</t>
  </si>
  <si>
    <t>COMPLETADO
✓</t>
  </si>
  <si>
    <t>RESUMEN EJECUTIVO – COVER ENGINE x60</t>
  </si>
  <si>
    <t>TIEMPO PROMEDIO POR PROCESO (desde Registro por Lote)</t>
  </si>
  <si>
    <t>Proceso</t>
  </si>
  <si>
    <t>Color</t>
  </si>
  <si>
    <t>Prom. (min)</t>
  </si>
  <si>
    <t>Mín. (min)</t>
  </si>
  <si>
    <t>Máx. (min)</t>
  </si>
  <si>
    <t>% del Total</t>
  </si>
  <si>
    <t>Etapa crítica</t>
  </si>
  <si>
    <t>1. Cortadora Manual</t>
  </si>
  <si>
    <t>2. Corte Láser</t>
  </si>
  <si>
    <t>3. Corte Router</t>
  </si>
  <si>
    <t>4. Sold. Componente</t>
  </si>
  <si>
    <t>5. Unión Componentes</t>
  </si>
  <si>
    <t>TOTAL PROMEDIO POR RACK</t>
  </si>
  <si>
    <t>PROYECCIÓN PARA 60 RACKS</t>
  </si>
  <si>
    <t>Tiempo total estimado (en serie)</t>
  </si>
  <si>
    <t>Ganancia paralelo (estimado 40%)</t>
  </si>
  <si>
    <t>Racks completados hoy</t>
  </si>
  <si>
    <t>% Avance pedido</t>
  </si>
  <si>
    <t>GUIDI COVER ENGINE</t>
  </si>
  <si>
    <t>Corte hierro para laterales</t>
  </si>
  <si>
    <t>Armado componentes laterales</t>
  </si>
  <si>
    <t>Esqueleto del rack</t>
  </si>
  <si>
    <t>Horizontal largo fondo rack</t>
  </si>
  <si>
    <t>Tochitos union entre componentes</t>
  </si>
  <si>
    <t>Cortado para base 40x20 total</t>
  </si>
  <si>
    <t>Soldadura de base 40x20</t>
  </si>
  <si>
    <t xml:space="preserve">Corte para arañas </t>
  </si>
  <si>
    <t>Corte y soldadura de interiores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</si>
</sst>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&quot; min&quot;"/>
    <numFmt numFmtId="165" formatCode="0.00&quot; hs&quot;"/>
    <numFmt numFmtId="166" formatCode="0.0&quot; r/h&quot;"/>
    <numFmt numFmtId="167" formatCode="0.0"/>
    <numFmt numFmtId="168" formatCode="0.0&quot; min&quot;"/>
    <numFmt numFmtId="169" formatCode="0.0\%"/>
    <numFmt numFmtId="170" formatCode="0.0&quot; min aprox&quot;"/>
    <numFmt numFmtId="171" formatCode="0&quot; racks&quot;"/>
  </numFmts>
  <fonts count="20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C0392B"/>
      <name val="Arial"/>
      <charset val="1"/>
    </font>
    <font>
      <b/>
      <sz val="10"/>
      <color rgb="FF1E8449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b/>
      <sz val="14"/>
      <color rgb="FF1E8449"/>
      <name val="Arial"/>
      <charset val="1"/>
    </font>
    <font>
      <b/>
      <sz val="12"/>
      <color rgb="FFC0392B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b/>
      <sz val="11"/>
      <color rgb="FFFFFFFF"/>
      <name val="Arial"/>
      <charset val="1"/>
    </font>
    <font>
      <b/>
      <sz val="11"/>
      <color rgb="FF1C2833"/>
      <name val="Arial"/>
      <charset val="1"/>
    </font>
    <font>
      <b/>
      <sz val="11"/>
      <color rgb="FFC0392B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C2833"/>
        <bgColor rgb="FF2C3E50"/>
      </patternFill>
    </fill>
    <fill>
      <patternFill patternType="solid">
        <fgColor rgb="FF5D6D7E"/>
        <bgColor rgb="FF555555"/>
      </patternFill>
    </fill>
    <fill>
      <patternFill patternType="solid">
        <fgColor rgb="FFAED6F1"/>
        <bgColor rgb="FFA9DFBF"/>
      </patternFill>
    </fill>
    <fill>
      <patternFill patternType="solid">
        <fgColor rgb="FFFEF9E7"/>
        <bgColor rgb="FFF2F3F4"/>
      </patternFill>
    </fill>
    <fill>
      <patternFill patternType="solid">
        <fgColor rgb="FF1A5276"/>
        <bgColor rgb="FF2C3E50"/>
      </patternFill>
    </fill>
    <fill>
      <patternFill patternType="solid">
        <fgColor rgb="FF6C3483"/>
        <bgColor rgb="FF555555"/>
      </patternFill>
    </fill>
    <fill>
      <patternFill patternType="solid">
        <fgColor rgb="FF117A65"/>
        <bgColor rgb="FF008080"/>
      </patternFill>
    </fill>
    <fill>
      <patternFill patternType="solid">
        <fgColor rgb="FF784212"/>
        <bgColor rgb="FF922B21"/>
      </patternFill>
    </fill>
    <fill>
      <patternFill patternType="solid">
        <fgColor rgb="FF922B21"/>
        <bgColor rgb="FF784212"/>
      </patternFill>
    </fill>
    <fill>
      <patternFill patternType="solid">
        <fgColor rgb="FF2C3E50"/>
        <bgColor rgb="FF1C2833"/>
      </patternFill>
    </fill>
    <fill>
      <patternFill patternType="solid">
        <fgColor rgb="FFD7BDE2"/>
        <bgColor rgb="FFBDBDBD"/>
      </patternFill>
    </fill>
    <fill>
      <patternFill patternType="solid">
        <fgColor rgb="FFA9DFBF"/>
        <bgColor rgb="FFAED6F1"/>
      </patternFill>
    </fill>
    <fill>
      <patternFill patternType="solid">
        <fgColor rgb="FFFAD7A0"/>
        <bgColor rgb="FFFADBD8"/>
      </patternFill>
    </fill>
    <fill>
      <patternFill patternType="solid">
        <fgColor rgb="FFFADBD8"/>
        <bgColor rgb="FFFAD7A0"/>
      </patternFill>
    </fill>
    <fill>
      <patternFill patternType="solid">
        <fgColor rgb="FFF2F3F4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1E8449"/>
        <bgColor rgb="FF117A65"/>
      </patternFill>
    </fill>
  </fills>
  <borders count="4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11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/>
    </xf>
    <xf numFmtId="20" fontId="7" fillId="17" borderId="2" xfId="0" applyNumberFormat="1" applyFont="1" applyFill="1" applyBorder="1" applyAlignment="1">
      <alignment horizontal="center" vertical="center"/>
    </xf>
    <xf numFmtId="164" fontId="7" fillId="17" borderId="2" xfId="0" applyNumberFormat="1" applyFont="1" applyFill="1" applyBorder="1" applyAlignment="1">
      <alignment horizontal="center" vertical="center"/>
    </xf>
    <xf numFmtId="164" fontId="8" fillId="15" borderId="2" xfId="0" applyNumberFormat="1" applyFont="1" applyFill="1" applyBorder="1" applyAlignment="1">
      <alignment horizontal="center" vertical="center"/>
    </xf>
    <xf numFmtId="165" fontId="9" fillId="17" borderId="2" xfId="0" applyNumberFormat="1" applyFont="1" applyFill="1" applyBorder="1" applyAlignment="1">
      <alignment horizontal="center" vertical="center"/>
    </xf>
    <xf numFmtId="166" fontId="10" fillId="17" borderId="2" xfId="0" applyNumberFormat="1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center" vertical="center"/>
    </xf>
    <xf numFmtId="20" fontId="7" fillId="16" borderId="2" xfId="0" applyNumberFormat="1" applyFont="1" applyFill="1" applyBorder="1" applyAlignment="1">
      <alignment horizontal="center" vertical="center"/>
    </xf>
    <xf numFmtId="164" fontId="7" fillId="16" borderId="2" xfId="0" applyNumberFormat="1" applyFont="1" applyFill="1" applyBorder="1" applyAlignment="1">
      <alignment horizontal="center" vertical="center"/>
    </xf>
    <xf numFmtId="165" fontId="9" fillId="16" borderId="2" xfId="0" applyNumberFormat="1" applyFont="1" applyFill="1" applyBorder="1" applyAlignment="1">
      <alignment horizontal="center" vertical="center"/>
    </xf>
    <xf numFmtId="166" fontId="10" fillId="16" borderId="2" xfId="0" applyNumberFormat="1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left" vertical="center" wrapText="1"/>
    </xf>
    <xf numFmtId="167" fontId="11" fillId="11" borderId="2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0" fillId="6" borderId="2" xfId="0" applyFill="1" applyBorder="1"/>
    <xf numFmtId="168" fontId="7" fillId="4" borderId="2" xfId="0" applyNumberFormat="1" applyFont="1" applyFill="1" applyBorder="1" applyAlignment="1">
      <alignment horizontal="center" vertical="center"/>
    </xf>
    <xf numFmtId="169" fontId="8" fillId="4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/>
    </xf>
    <xf numFmtId="0" fontId="0" fillId="7" borderId="2" xfId="0" applyFill="1" applyBorder="1"/>
    <xf numFmtId="168" fontId="7" fillId="12" borderId="2" xfId="0" applyNumberFormat="1" applyFont="1" applyFill="1" applyBorder="1" applyAlignment="1">
      <alignment horizontal="center" vertical="center"/>
    </xf>
    <xf numFmtId="169" fontId="8" fillId="12" borderId="2" xfId="0" applyNumberFormat="1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0" fillId="8" borderId="2" xfId="0" applyFill="1" applyBorder="1"/>
    <xf numFmtId="168" fontId="7" fillId="13" borderId="2" xfId="0" applyNumberFormat="1" applyFont="1" applyFill="1" applyBorder="1" applyAlignment="1">
      <alignment horizontal="center" vertical="center"/>
    </xf>
    <xf numFmtId="169" fontId="8" fillId="13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0" fillId="9" borderId="2" xfId="0" applyFill="1" applyBorder="1"/>
    <xf numFmtId="168" fontId="7" fillId="14" borderId="2" xfId="0" applyNumberFormat="1" applyFont="1" applyFill="1" applyBorder="1" applyAlignment="1">
      <alignment horizontal="center" vertical="center"/>
    </xf>
    <xf numFmtId="169" fontId="8" fillId="14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/>
    </xf>
    <xf numFmtId="0" fontId="0" fillId="10" borderId="2" xfId="0" applyFill="1" applyBorder="1"/>
    <xf numFmtId="168" fontId="7" fillId="15" borderId="2" xfId="0" applyNumberFormat="1" applyFont="1" applyFill="1" applyBorder="1" applyAlignment="1">
      <alignment horizontal="center" vertical="center"/>
    </xf>
    <xf numFmtId="169" fontId="8" fillId="15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168" fontId="17" fillId="2" borderId="2" xfId="0" applyNumberFormat="1" applyFont="1" applyFill="1" applyBorder="1" applyAlignment="1">
      <alignment horizontal="center" vertical="center"/>
    </xf>
    <xf numFmtId="165" fontId="17" fillId="2" borderId="2" xfId="0" applyNumberFormat="1" applyFont="1" applyFill="1" applyBorder="1" applyAlignment="1">
      <alignment horizontal="center" vertical="center"/>
    </xf>
    <xf numFmtId="168" fontId="18" fillId="5" borderId="2" xfId="0" applyNumberFormat="1" applyFont="1" applyFill="1" applyBorder="1" applyAlignment="1">
      <alignment horizontal="center" vertical="center"/>
    </xf>
    <xf numFmtId="165" fontId="18" fillId="5" borderId="2" xfId="0" applyNumberFormat="1" applyFont="1" applyFill="1" applyBorder="1" applyAlignment="1">
      <alignment horizontal="center" vertical="center"/>
    </xf>
    <xf numFmtId="170" fontId="18" fillId="5" borderId="2" xfId="0" applyNumberFormat="1" applyFont="1" applyFill="1" applyBorder="1" applyAlignment="1">
      <alignment horizontal="center" vertical="center"/>
    </xf>
    <xf numFmtId="171" fontId="18" fillId="5" borderId="2" xfId="0" applyNumberFormat="1" applyFont="1" applyFill="1" applyBorder="1" applyAlignment="1">
      <alignment horizontal="center" vertical="center"/>
    </xf>
    <xf numFmtId="169" fontId="19" fillId="5" borderId="2" xfId="0" applyNumberFormat="1" applyFont="1" applyFill="1" applyBorder="1" applyAlignment="1">
      <alignment horizontal="center" vertical="center"/>
    </xf>
    <xf numFmtId="14" fontId="7" fillId="17" borderId="2" xfId="0" applyNumberFormat="1" applyFont="1" applyFill="1" applyBorder="1" applyAlignment="1">
      <alignment horizontal="center" vertical="center"/>
    </xf>
    <xf numFmtId="14" fontId="7" fillId="16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5" borderId="0" xfId="0" applyFont="1" applyFill="1"/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/>
    <xf numFmtId="0" fontId="7" fillId="17" borderId="3" xfId="0" applyFont="1" applyFill="1" applyBorder="1" applyAlignment="1">
      <alignment horizontal="left" vertical="center"/>
    </xf>
    <xf numFmtId="0" fontId="7" fillId="16" borderId="3" xfId="0" applyFont="1" applyFill="1" applyBorder="1" applyAlignment="1">
      <alignment horizontal="left" vertical="center"/>
    </xf>
    <xf numFmtId="0" fontId="1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4212"/>
      <rgbColor rgb="FF800080"/>
      <rgbColor rgb="FF117A65"/>
      <rgbColor rgb="FFBDBDBD"/>
      <rgbColor rgb="FF808080"/>
      <rgbColor rgb="FF9999FF"/>
      <rgbColor rgb="FF6C3483"/>
      <rgbColor rgb="FFFEF9E7"/>
      <rgbColor rgb="FFF2F3F4"/>
      <rgbColor rgb="FF660066"/>
      <rgbColor rgb="FFFF8080"/>
      <rgbColor rgb="FF0066CC"/>
      <rgbColor rgb="FFD7BD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FBF"/>
      <rgbColor rgb="FFFADBD8"/>
      <rgbColor rgb="FFAED6F1"/>
      <rgbColor rgb="FFFF99CC"/>
      <rgbColor rgb="FFCC99FF"/>
      <rgbColor rgb="FFFAD7A0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A5276"/>
      <rgbColor rgb="FF1E8449"/>
      <rgbColor rgb="FF003300"/>
      <rgbColor rgb="FF1C2833"/>
      <rgbColor rgb="FF922B21"/>
      <rgbColor rgb="FFC0392B"/>
      <rgbColor rgb="FF555555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33"/>
  <sheetViews>
    <sheetView showGridLines="0" tabSelected="1" zoomScaleNormal="100" workbookViewId="0">
      <pane ySplit="7" topLeftCell="A12" activePane="bottomLeft" state="frozen"/>
      <selection pane="bottomLeft" activeCell="D17" sqref="D17"/>
    </sheetView>
  </sheetViews>
  <sheetFormatPr baseColWidth="10" defaultColWidth="8.6328125" defaultRowHeight="14.5" x14ac:dyDescent="0.35"/>
  <cols>
    <col min="1" max="1" width="19.453125" customWidth="1"/>
    <col min="2" max="2" width="11" customWidth="1"/>
    <col min="3" max="3" width="8" customWidth="1"/>
    <col min="4" max="14" width="9" customWidth="1"/>
    <col min="15" max="16" width="8" customWidth="1"/>
    <col min="17" max="18" width="9" customWidth="1"/>
    <col min="19" max="19" width="11" customWidth="1"/>
    <col min="20" max="20" width="10" customWidth="1"/>
    <col min="21" max="21" width="9" customWidth="1"/>
    <col min="22" max="22" width="22" customWidth="1"/>
  </cols>
  <sheetData>
    <row r="1" spans="1:22" ht="37.5" customHeight="1" x14ac:dyDescent="0.3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</row>
    <row r="2" spans="1:22" ht="15.75" customHeight="1" x14ac:dyDescent="0.35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</row>
    <row r="3" spans="1:22" ht="4.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2" ht="18" customHeight="1" x14ac:dyDescent="0.35">
      <c r="A4" s="78" t="s">
        <v>2</v>
      </c>
      <c r="B4" s="78"/>
      <c r="C4" s="78"/>
      <c r="D4" s="79" t="s">
        <v>3</v>
      </c>
      <c r="E4" s="79"/>
      <c r="F4" s="80" t="s">
        <v>4</v>
      </c>
      <c r="G4" s="80"/>
      <c r="H4" s="81" t="s">
        <v>5</v>
      </c>
      <c r="I4" s="81"/>
      <c r="J4" s="82" t="s">
        <v>6</v>
      </c>
      <c r="K4" s="82"/>
      <c r="L4" s="83" t="s">
        <v>7</v>
      </c>
      <c r="M4" s="83"/>
    </row>
    <row r="5" spans="1:22" ht="4.5" customHeight="1" x14ac:dyDescent="0.35"/>
    <row r="6" spans="1:22" ht="19.5" customHeight="1" x14ac:dyDescent="0.35">
      <c r="A6" s="86" t="s">
        <v>8</v>
      </c>
      <c r="B6" s="87" t="s">
        <v>9</v>
      </c>
      <c r="C6" s="86" t="s">
        <v>10</v>
      </c>
      <c r="D6" s="79" t="s">
        <v>11</v>
      </c>
      <c r="E6" s="79"/>
      <c r="F6" s="80" t="s">
        <v>12</v>
      </c>
      <c r="G6" s="80"/>
      <c r="H6" s="81" t="s">
        <v>13</v>
      </c>
      <c r="I6" s="81"/>
      <c r="J6" s="82" t="s">
        <v>14</v>
      </c>
      <c r="K6" s="82"/>
      <c r="L6" s="83" t="s">
        <v>15</v>
      </c>
      <c r="M6" s="83"/>
      <c r="N6" s="84" t="s">
        <v>16</v>
      </c>
      <c r="O6" s="84"/>
      <c r="P6" s="84"/>
      <c r="Q6" s="84"/>
      <c r="R6" s="84"/>
      <c r="S6" s="84"/>
      <c r="T6" s="84"/>
      <c r="U6" s="84"/>
      <c r="V6" s="84"/>
    </row>
    <row r="7" spans="1:22" ht="31.5" customHeight="1" x14ac:dyDescent="0.35">
      <c r="A7" s="86"/>
      <c r="B7" s="86"/>
      <c r="C7" s="86"/>
      <c r="D7" s="3" t="s">
        <v>17</v>
      </c>
      <c r="E7" s="3" t="s">
        <v>18</v>
      </c>
      <c r="F7" s="4" t="s">
        <v>17</v>
      </c>
      <c r="G7" s="4" t="s">
        <v>18</v>
      </c>
      <c r="H7" s="5" t="s">
        <v>17</v>
      </c>
      <c r="I7" s="5" t="s">
        <v>18</v>
      </c>
      <c r="J7" s="6" t="s">
        <v>17</v>
      </c>
      <c r="K7" s="6" t="s">
        <v>18</v>
      </c>
      <c r="L7" s="7" t="s">
        <v>17</v>
      </c>
      <c r="M7" s="7" t="s">
        <v>18</v>
      </c>
      <c r="N7" s="8" t="s">
        <v>19</v>
      </c>
      <c r="O7" s="9" t="s">
        <v>20</v>
      </c>
      <c r="P7" s="10" t="s">
        <v>21</v>
      </c>
      <c r="Q7" s="11" t="s">
        <v>22</v>
      </c>
      <c r="R7" s="12" t="s">
        <v>23</v>
      </c>
      <c r="S7" s="12" t="s">
        <v>24</v>
      </c>
      <c r="T7" s="12" t="s">
        <v>25</v>
      </c>
      <c r="U7" s="13" t="s">
        <v>26</v>
      </c>
      <c r="V7" s="14" t="s">
        <v>27</v>
      </c>
    </row>
    <row r="8" spans="1:22" ht="21.75" customHeight="1" x14ac:dyDescent="0.35">
      <c r="A8" s="15" t="s">
        <v>63</v>
      </c>
      <c r="B8" s="74">
        <v>46175</v>
      </c>
      <c r="C8" s="15">
        <v>5</v>
      </c>
      <c r="D8" s="16">
        <v>4.1666666666666664E-2</v>
      </c>
      <c r="E8" s="16">
        <v>6.9444444444444448E-2</v>
      </c>
      <c r="F8" s="16"/>
      <c r="G8" s="16"/>
      <c r="H8" s="16"/>
      <c r="I8" s="16"/>
      <c r="J8" s="16"/>
      <c r="K8" s="16"/>
      <c r="L8" s="16"/>
      <c r="M8" s="16"/>
      <c r="N8" s="17">
        <f t="shared" ref="N8:N32" si="0">IF(OR(E8="",D8=""),"",ROUND((E8-D8)*1440,0))</f>
        <v>40</v>
      </c>
      <c r="O8" s="17" t="str">
        <f t="shared" ref="O8:O32" si="1">IF(OR(G8="",F8=""),"",ROUND((G8-F8)*1440,0))</f>
        <v/>
      </c>
      <c r="P8" s="17" t="str">
        <f t="shared" ref="P8:P32" si="2">IF(OR(I8="",H8=""),"",ROUND((I8-H8)*1440,0))</f>
        <v/>
      </c>
      <c r="Q8" s="17" t="str">
        <f t="shared" ref="Q8:Q32" si="3">IF(OR(K8="",J8=""),"",ROUND((K8-J8)*1440,0))</f>
        <v/>
      </c>
      <c r="R8" s="17" t="str">
        <f t="shared" ref="R8:R32" si="4">IF(OR(M8="",L8=""),"",ROUND((M8-L8)*1440,0))</f>
        <v/>
      </c>
      <c r="S8" s="18">
        <f t="shared" ref="S8:S32" si="5">IF(AND(N8="",O8="",P8="",Q8="",R8=""),"",IFERROR(IF(N8&lt;&gt;"",N8,0)+IF(O8&lt;&gt;"",O8,0)+IF(P8&lt;&gt;"",P8,0)+IF(Q8&lt;&gt;"",Q8,0)+IF(R8&lt;&gt;"",R8,0),""))</f>
        <v>40</v>
      </c>
      <c r="T8" s="19">
        <f t="shared" ref="T8:T32" si="6">IF(S8="","",ROUND(S8/60,2))</f>
        <v>0.67</v>
      </c>
      <c r="U8" s="20">
        <f t="shared" ref="U8:U32" si="7">IF(OR(C8="",T8="",T8=0),"",ROUND(C8/T8,1))</f>
        <v>7.5</v>
      </c>
      <c r="V8" s="21" t="s">
        <v>64</v>
      </c>
    </row>
    <row r="9" spans="1:22" ht="21.75" customHeight="1" x14ac:dyDescent="0.35">
      <c r="A9" s="22" t="s">
        <v>63</v>
      </c>
      <c r="B9" s="75">
        <v>46175</v>
      </c>
      <c r="C9" s="22">
        <v>5</v>
      </c>
      <c r="D9" s="23"/>
      <c r="E9" s="23"/>
      <c r="F9" s="23"/>
      <c r="G9" s="23"/>
      <c r="H9" s="23"/>
      <c r="I9" s="23"/>
      <c r="J9" s="23">
        <v>6.9444444444444448E-2</v>
      </c>
      <c r="K9" s="23">
        <v>0.10902777777777778</v>
      </c>
      <c r="L9" s="23"/>
      <c r="M9" s="23"/>
      <c r="N9" s="24" t="str">
        <f t="shared" si="0"/>
        <v/>
      </c>
      <c r="O9" s="24" t="str">
        <f t="shared" si="1"/>
        <v/>
      </c>
      <c r="P9" s="24" t="str">
        <f t="shared" si="2"/>
        <v/>
      </c>
      <c r="Q9" s="24">
        <f t="shared" si="3"/>
        <v>57</v>
      </c>
      <c r="R9" s="24" t="str">
        <f t="shared" si="4"/>
        <v/>
      </c>
      <c r="S9" s="18">
        <f t="shared" si="5"/>
        <v>57</v>
      </c>
      <c r="T9" s="25">
        <f t="shared" si="6"/>
        <v>0.95</v>
      </c>
      <c r="U9" s="26">
        <f t="shared" si="7"/>
        <v>5.3</v>
      </c>
      <c r="V9" s="27" t="s">
        <v>65</v>
      </c>
    </row>
    <row r="10" spans="1:22" ht="21.75" customHeight="1" x14ac:dyDescent="0.35">
      <c r="A10" s="15" t="str">
        <f t="shared" ref="A10:B13" si="8">+A9</f>
        <v>GUIDI COVER ENGINE</v>
      </c>
      <c r="B10" s="74">
        <f t="shared" si="8"/>
        <v>46175</v>
      </c>
      <c r="C10" s="15">
        <v>1</v>
      </c>
      <c r="D10" s="16"/>
      <c r="E10" s="16"/>
      <c r="F10" s="16"/>
      <c r="G10" s="16"/>
      <c r="H10" s="16"/>
      <c r="I10" s="16"/>
      <c r="J10" s="16"/>
      <c r="K10" s="16"/>
      <c r="L10" s="16">
        <v>4.1666666666666664E-2</v>
      </c>
      <c r="M10" s="16">
        <v>0.1111111111111111</v>
      </c>
      <c r="N10" s="17" t="str">
        <f t="shared" si="0"/>
        <v/>
      </c>
      <c r="O10" s="17" t="str">
        <f t="shared" si="1"/>
        <v/>
      </c>
      <c r="P10" s="17" t="str">
        <f t="shared" si="2"/>
        <v/>
      </c>
      <c r="Q10" s="17" t="str">
        <f t="shared" si="3"/>
        <v/>
      </c>
      <c r="R10" s="17">
        <f t="shared" si="4"/>
        <v>100</v>
      </c>
      <c r="S10" s="18">
        <f t="shared" si="5"/>
        <v>100</v>
      </c>
      <c r="T10" s="19">
        <f t="shared" si="6"/>
        <v>1.67</v>
      </c>
      <c r="U10" s="20">
        <f t="shared" si="7"/>
        <v>0.6</v>
      </c>
      <c r="V10" s="21" t="s">
        <v>66</v>
      </c>
    </row>
    <row r="11" spans="1:22" ht="21.75" customHeight="1" x14ac:dyDescent="0.35">
      <c r="A11" s="22" t="str">
        <f t="shared" si="8"/>
        <v>GUIDI COVER ENGINE</v>
      </c>
      <c r="B11" s="75">
        <f t="shared" si="8"/>
        <v>46175</v>
      </c>
      <c r="C11" s="22">
        <v>5</v>
      </c>
      <c r="D11" s="23">
        <v>4.1666666666666664E-2</v>
      </c>
      <c r="E11" s="23">
        <v>4.5138888888888888E-2</v>
      </c>
      <c r="F11" s="23"/>
      <c r="G11" s="23"/>
      <c r="H11" s="23"/>
      <c r="I11" s="23"/>
      <c r="J11" s="23"/>
      <c r="K11" s="23"/>
      <c r="L11" s="23"/>
      <c r="M11" s="23"/>
      <c r="N11" s="24">
        <f t="shared" si="0"/>
        <v>5</v>
      </c>
      <c r="O11" s="24" t="str">
        <f t="shared" si="1"/>
        <v/>
      </c>
      <c r="P11" s="24" t="str">
        <f t="shared" si="2"/>
        <v/>
      </c>
      <c r="Q11" s="24" t="str">
        <f t="shared" si="3"/>
        <v/>
      </c>
      <c r="R11" s="24" t="str">
        <f t="shared" si="4"/>
        <v/>
      </c>
      <c r="S11" s="18">
        <f t="shared" si="5"/>
        <v>5</v>
      </c>
      <c r="T11" s="25">
        <f t="shared" si="6"/>
        <v>0.08</v>
      </c>
      <c r="U11" s="26">
        <f t="shared" si="7"/>
        <v>62.5</v>
      </c>
      <c r="V11" s="27" t="s">
        <v>67</v>
      </c>
    </row>
    <row r="12" spans="1:22" ht="21.75" customHeight="1" x14ac:dyDescent="0.35">
      <c r="A12" s="15" t="str">
        <f t="shared" si="8"/>
        <v>GUIDI COVER ENGINE</v>
      </c>
      <c r="B12" s="74">
        <f t="shared" si="8"/>
        <v>46175</v>
      </c>
      <c r="C12" s="15">
        <v>5</v>
      </c>
      <c r="D12" s="16">
        <f>+D11</f>
        <v>4.1666666666666664E-2</v>
      </c>
      <c r="E12" s="16">
        <v>6.9444444444444448E-2</v>
      </c>
      <c r="F12" s="16"/>
      <c r="G12" s="16"/>
      <c r="H12" s="16"/>
      <c r="I12" s="16"/>
      <c r="J12" s="16"/>
      <c r="K12" s="16"/>
      <c r="L12" s="16"/>
      <c r="M12" s="16"/>
      <c r="N12" s="17">
        <f t="shared" si="0"/>
        <v>40</v>
      </c>
      <c r="O12" s="17" t="str">
        <f t="shared" si="1"/>
        <v/>
      </c>
      <c r="P12" s="17" t="str">
        <f t="shared" si="2"/>
        <v/>
      </c>
      <c r="Q12" s="17" t="str">
        <f t="shared" si="3"/>
        <v/>
      </c>
      <c r="R12" s="17" t="str">
        <f t="shared" si="4"/>
        <v/>
      </c>
      <c r="S12" s="18">
        <f t="shared" si="5"/>
        <v>40</v>
      </c>
      <c r="T12" s="19">
        <f t="shared" si="6"/>
        <v>0.67</v>
      </c>
      <c r="U12" s="20">
        <f t="shared" si="7"/>
        <v>7.5</v>
      </c>
      <c r="V12" s="21" t="s">
        <v>68</v>
      </c>
    </row>
    <row r="13" spans="1:22" ht="21.75" customHeight="1" x14ac:dyDescent="0.35">
      <c r="A13" s="22" t="str">
        <f t="shared" si="8"/>
        <v>GUIDI COVER ENGINE</v>
      </c>
      <c r="B13" s="75">
        <f t="shared" si="8"/>
        <v>46175</v>
      </c>
      <c r="C13" s="22">
        <v>5</v>
      </c>
      <c r="D13" s="23">
        <v>4.1666666666666664E-2</v>
      </c>
      <c r="E13" s="23">
        <v>8.0555555555555561E-2</v>
      </c>
      <c r="F13" s="23"/>
      <c r="G13" s="23"/>
      <c r="H13" s="23"/>
      <c r="I13" s="23"/>
      <c r="J13" s="23"/>
      <c r="K13" s="23"/>
      <c r="L13" s="23"/>
      <c r="M13" s="23"/>
      <c r="N13" s="24">
        <f t="shared" si="0"/>
        <v>56</v>
      </c>
      <c r="O13" s="24" t="str">
        <f t="shared" si="1"/>
        <v/>
      </c>
      <c r="P13" s="24" t="str">
        <f t="shared" si="2"/>
        <v/>
      </c>
      <c r="Q13" s="24" t="str">
        <f t="shared" si="3"/>
        <v/>
      </c>
      <c r="R13" s="24" t="str">
        <f t="shared" si="4"/>
        <v/>
      </c>
      <c r="S13" s="18">
        <f t="shared" si="5"/>
        <v>56</v>
      </c>
      <c r="T13" s="25">
        <f t="shared" si="6"/>
        <v>0.93</v>
      </c>
      <c r="U13" s="26">
        <f t="shared" si="7"/>
        <v>5.4</v>
      </c>
      <c r="V13" s="27" t="s">
        <v>69</v>
      </c>
    </row>
    <row r="14" spans="1:22" ht="21.75" customHeight="1" x14ac:dyDescent="0.35">
      <c r="A14" s="15" t="str">
        <f>+A13</f>
        <v>GUIDI COVER ENGINE</v>
      </c>
      <c r="B14" s="74">
        <v>46176</v>
      </c>
      <c r="C14" s="15">
        <v>5</v>
      </c>
      <c r="D14" s="16"/>
      <c r="E14" s="16"/>
      <c r="F14" s="16"/>
      <c r="G14" s="16"/>
      <c r="H14" s="16"/>
      <c r="I14" s="16"/>
      <c r="J14" s="16">
        <v>4.1666666666666664E-2</v>
      </c>
      <c r="K14" s="16">
        <v>0.1076388888888889</v>
      </c>
      <c r="L14" s="16"/>
      <c r="M14" s="16"/>
      <c r="N14" s="17" t="str">
        <f t="shared" si="0"/>
        <v/>
      </c>
      <c r="O14" s="17" t="str">
        <f t="shared" si="1"/>
        <v/>
      </c>
      <c r="P14" s="17" t="str">
        <f t="shared" si="2"/>
        <v/>
      </c>
      <c r="Q14" s="17">
        <f t="shared" si="3"/>
        <v>95</v>
      </c>
      <c r="R14" s="17" t="str">
        <f t="shared" si="4"/>
        <v/>
      </c>
      <c r="S14" s="18">
        <f t="shared" si="5"/>
        <v>95</v>
      </c>
      <c r="T14" s="19">
        <f t="shared" si="6"/>
        <v>1.58</v>
      </c>
      <c r="U14" s="20">
        <f t="shared" si="7"/>
        <v>3.2</v>
      </c>
      <c r="V14" s="21" t="s">
        <v>70</v>
      </c>
    </row>
    <row r="15" spans="1:22" ht="21.75" customHeight="1" x14ac:dyDescent="0.35">
      <c r="A15" s="22" t="str">
        <f>+A14</f>
        <v>GUIDI COVER ENGINE</v>
      </c>
      <c r="B15" s="75">
        <f>+B14</f>
        <v>46176</v>
      </c>
      <c r="C15" s="22">
        <v>5</v>
      </c>
      <c r="D15" s="23">
        <v>4.1666666666666664E-2</v>
      </c>
      <c r="E15" s="23">
        <v>8.3333333333333329E-2</v>
      </c>
      <c r="F15" s="23"/>
      <c r="G15" s="23"/>
      <c r="H15" s="23"/>
      <c r="I15" s="23"/>
      <c r="J15" s="23"/>
      <c r="K15" s="23"/>
      <c r="L15" s="23"/>
      <c r="M15" s="23"/>
      <c r="N15" s="24">
        <f t="shared" si="0"/>
        <v>60</v>
      </c>
      <c r="O15" s="24" t="str">
        <f t="shared" si="1"/>
        <v/>
      </c>
      <c r="P15" s="24" t="str">
        <f t="shared" si="2"/>
        <v/>
      </c>
      <c r="Q15" s="24" t="str">
        <f t="shared" si="3"/>
        <v/>
      </c>
      <c r="R15" s="24" t="str">
        <f t="shared" si="4"/>
        <v/>
      </c>
      <c r="S15" s="18">
        <f t="shared" si="5"/>
        <v>60</v>
      </c>
      <c r="T15" s="25">
        <f t="shared" si="6"/>
        <v>1</v>
      </c>
      <c r="U15" s="26">
        <f t="shared" si="7"/>
        <v>5</v>
      </c>
      <c r="V15" s="27" t="s">
        <v>71</v>
      </c>
    </row>
    <row r="16" spans="1:22" ht="21.75" customHeight="1" x14ac:dyDescent="0.35">
      <c r="A16" s="22" t="str">
        <f>+A15</f>
        <v>GUIDI COVER ENGINE</v>
      </c>
      <c r="B16" s="74">
        <v>46176</v>
      </c>
      <c r="C16" s="15">
        <v>5</v>
      </c>
      <c r="D16" s="16"/>
      <c r="E16" s="16"/>
      <c r="F16" s="16"/>
      <c r="G16" s="16"/>
      <c r="H16" s="16"/>
      <c r="I16" s="16"/>
      <c r="J16" s="16">
        <v>4.1666666666666664E-2</v>
      </c>
      <c r="K16" s="16">
        <v>5.5555555555555552E-2</v>
      </c>
      <c r="L16" s="16"/>
      <c r="M16" s="16"/>
      <c r="N16" s="17" t="str">
        <f t="shared" si="0"/>
        <v/>
      </c>
      <c r="O16" s="17" t="str">
        <f t="shared" si="1"/>
        <v/>
      </c>
      <c r="P16" s="17" t="str">
        <f t="shared" si="2"/>
        <v/>
      </c>
      <c r="Q16" s="17">
        <f t="shared" si="3"/>
        <v>20</v>
      </c>
      <c r="R16" s="17" t="str">
        <f t="shared" si="4"/>
        <v/>
      </c>
      <c r="S16" s="18">
        <f t="shared" si="5"/>
        <v>20</v>
      </c>
      <c r="T16" s="19">
        <f t="shared" si="6"/>
        <v>0.33</v>
      </c>
      <c r="U16" s="20">
        <f t="shared" si="7"/>
        <v>15.2</v>
      </c>
      <c r="V16" s="21" t="s">
        <v>72</v>
      </c>
    </row>
    <row r="17" spans="1:22" ht="21.75" customHeight="1" x14ac:dyDescent="0.35">
      <c r="A17" s="22" t="s">
        <v>63</v>
      </c>
      <c r="B17" s="22"/>
      <c r="C17" s="22"/>
      <c r="D17" s="23">
        <v>4.1666666666666664E-2</v>
      </c>
      <c r="E17" s="23"/>
      <c r="F17" s="23"/>
      <c r="G17" s="23"/>
      <c r="H17" s="23"/>
      <c r="I17" s="23"/>
      <c r="J17" s="23"/>
      <c r="K17" s="23"/>
      <c r="L17" s="23"/>
      <c r="M17" s="23"/>
      <c r="N17" s="24" t="str">
        <f t="shared" si="0"/>
        <v/>
      </c>
      <c r="O17" s="24" t="str">
        <f t="shared" si="1"/>
        <v/>
      </c>
      <c r="P17" s="24" t="str">
        <f t="shared" si="2"/>
        <v/>
      </c>
      <c r="Q17" s="24" t="str">
        <f t="shared" si="3"/>
        <v/>
      </c>
      <c r="R17" s="24" t="str">
        <f t="shared" si="4"/>
        <v/>
      </c>
      <c r="S17" s="18" t="str">
        <f t="shared" si="5"/>
        <v/>
      </c>
      <c r="T17" s="25" t="str">
        <f t="shared" si="6"/>
        <v/>
      </c>
      <c r="U17" s="26" t="str">
        <f t="shared" si="7"/>
        <v/>
      </c>
      <c r="V17" s="27"/>
    </row>
    <row r="18" spans="1:22" ht="21.75" customHeight="1" x14ac:dyDescent="0.35">
      <c r="A18" s="15"/>
      <c r="B18" s="15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 t="str">
        <f t="shared" si="0"/>
        <v/>
      </c>
      <c r="O18" s="17" t="str">
        <f t="shared" si="1"/>
        <v/>
      </c>
      <c r="P18" s="17" t="str">
        <f t="shared" si="2"/>
        <v/>
      </c>
      <c r="Q18" s="17" t="str">
        <f t="shared" si="3"/>
        <v/>
      </c>
      <c r="R18" s="17" t="str">
        <f t="shared" si="4"/>
        <v/>
      </c>
      <c r="S18" s="18" t="str">
        <f t="shared" si="5"/>
        <v/>
      </c>
      <c r="T18" s="19" t="str">
        <f t="shared" si="6"/>
        <v/>
      </c>
      <c r="U18" s="20" t="str">
        <f t="shared" si="7"/>
        <v/>
      </c>
      <c r="V18" s="21"/>
    </row>
    <row r="19" spans="1:22" ht="21.75" customHeight="1" x14ac:dyDescent="0.35">
      <c r="A19" s="22"/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 t="str">
        <f t="shared" si="0"/>
        <v/>
      </c>
      <c r="O19" s="24" t="str">
        <f t="shared" si="1"/>
        <v/>
      </c>
      <c r="P19" s="24" t="str">
        <f t="shared" si="2"/>
        <v/>
      </c>
      <c r="Q19" s="24" t="str">
        <f t="shared" si="3"/>
        <v/>
      </c>
      <c r="R19" s="24" t="str">
        <f t="shared" si="4"/>
        <v/>
      </c>
      <c r="S19" s="18" t="str">
        <f t="shared" si="5"/>
        <v/>
      </c>
      <c r="T19" s="25" t="str">
        <f t="shared" si="6"/>
        <v/>
      </c>
      <c r="U19" s="26" t="str">
        <f t="shared" si="7"/>
        <v/>
      </c>
      <c r="V19" s="27"/>
    </row>
    <row r="20" spans="1:22" ht="21.75" customHeight="1" x14ac:dyDescent="0.35">
      <c r="A20" s="15"/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 t="str">
        <f t="shared" si="0"/>
        <v/>
      </c>
      <c r="O20" s="17" t="str">
        <f t="shared" si="1"/>
        <v/>
      </c>
      <c r="P20" s="17" t="str">
        <f t="shared" si="2"/>
        <v/>
      </c>
      <c r="Q20" s="17" t="str">
        <f t="shared" si="3"/>
        <v/>
      </c>
      <c r="R20" s="17" t="str">
        <f t="shared" si="4"/>
        <v/>
      </c>
      <c r="S20" s="18" t="str">
        <f t="shared" si="5"/>
        <v/>
      </c>
      <c r="T20" s="19" t="str">
        <f t="shared" si="6"/>
        <v/>
      </c>
      <c r="U20" s="20" t="str">
        <f t="shared" si="7"/>
        <v/>
      </c>
      <c r="V20" s="21"/>
    </row>
    <row r="21" spans="1:22" ht="21.75" customHeight="1" x14ac:dyDescent="0.35">
      <c r="A21" s="22"/>
      <c r="B21" s="22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4" t="str">
        <f t="shared" si="0"/>
        <v/>
      </c>
      <c r="O21" s="24" t="str">
        <f t="shared" si="1"/>
        <v/>
      </c>
      <c r="P21" s="24" t="str">
        <f t="shared" si="2"/>
        <v/>
      </c>
      <c r="Q21" s="24" t="str">
        <f t="shared" si="3"/>
        <v/>
      </c>
      <c r="R21" s="24" t="str">
        <f t="shared" si="4"/>
        <v/>
      </c>
      <c r="S21" s="18" t="str">
        <f t="shared" si="5"/>
        <v/>
      </c>
      <c r="T21" s="25" t="str">
        <f t="shared" si="6"/>
        <v/>
      </c>
      <c r="U21" s="26" t="str">
        <f t="shared" si="7"/>
        <v/>
      </c>
      <c r="V21" s="27"/>
    </row>
    <row r="22" spans="1:22" ht="21.75" customHeight="1" x14ac:dyDescent="0.35">
      <c r="A22" s="15"/>
      <c r="B22" s="15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 t="str">
        <f t="shared" si="0"/>
        <v/>
      </c>
      <c r="O22" s="17" t="str">
        <f t="shared" si="1"/>
        <v/>
      </c>
      <c r="P22" s="17" t="str">
        <f t="shared" si="2"/>
        <v/>
      </c>
      <c r="Q22" s="17" t="str">
        <f t="shared" si="3"/>
        <v/>
      </c>
      <c r="R22" s="17" t="str">
        <f t="shared" si="4"/>
        <v/>
      </c>
      <c r="S22" s="18" t="str">
        <f t="shared" si="5"/>
        <v/>
      </c>
      <c r="T22" s="19" t="str">
        <f t="shared" si="6"/>
        <v/>
      </c>
      <c r="U22" s="20" t="str">
        <f t="shared" si="7"/>
        <v/>
      </c>
      <c r="V22" s="21"/>
    </row>
    <row r="23" spans="1:22" ht="21.75" customHeight="1" x14ac:dyDescent="0.35">
      <c r="A23" s="22"/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4" t="str">
        <f t="shared" si="0"/>
        <v/>
      </c>
      <c r="O23" s="24" t="str">
        <f t="shared" si="1"/>
        <v/>
      </c>
      <c r="P23" s="24" t="str">
        <f t="shared" si="2"/>
        <v/>
      </c>
      <c r="Q23" s="24" t="str">
        <f t="shared" si="3"/>
        <v/>
      </c>
      <c r="R23" s="24" t="str">
        <f t="shared" si="4"/>
        <v/>
      </c>
      <c r="S23" s="18" t="str">
        <f t="shared" si="5"/>
        <v/>
      </c>
      <c r="T23" s="25" t="str">
        <f t="shared" si="6"/>
        <v/>
      </c>
      <c r="U23" s="26" t="str">
        <f t="shared" si="7"/>
        <v/>
      </c>
      <c r="V23" s="27"/>
    </row>
    <row r="24" spans="1:22" ht="21.75" customHeight="1" x14ac:dyDescent="0.35">
      <c r="A24" s="15"/>
      <c r="B24" s="15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 t="str">
        <f t="shared" si="0"/>
        <v/>
      </c>
      <c r="O24" s="17" t="str">
        <f t="shared" si="1"/>
        <v/>
      </c>
      <c r="P24" s="17" t="str">
        <f t="shared" si="2"/>
        <v/>
      </c>
      <c r="Q24" s="17" t="str">
        <f t="shared" si="3"/>
        <v/>
      </c>
      <c r="R24" s="17" t="str">
        <f t="shared" si="4"/>
        <v/>
      </c>
      <c r="S24" s="18" t="str">
        <f t="shared" si="5"/>
        <v/>
      </c>
      <c r="T24" s="19" t="str">
        <f t="shared" si="6"/>
        <v/>
      </c>
      <c r="U24" s="20" t="str">
        <f t="shared" si="7"/>
        <v/>
      </c>
      <c r="V24" s="21"/>
    </row>
    <row r="25" spans="1:22" ht="21.75" customHeight="1" x14ac:dyDescent="0.35">
      <c r="A25" s="22"/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 t="str">
        <f t="shared" si="0"/>
        <v/>
      </c>
      <c r="O25" s="24" t="str">
        <f t="shared" si="1"/>
        <v/>
      </c>
      <c r="P25" s="24" t="str">
        <f t="shared" si="2"/>
        <v/>
      </c>
      <c r="Q25" s="24" t="str">
        <f t="shared" si="3"/>
        <v/>
      </c>
      <c r="R25" s="24" t="str">
        <f t="shared" si="4"/>
        <v/>
      </c>
      <c r="S25" s="18" t="str">
        <f t="shared" si="5"/>
        <v/>
      </c>
      <c r="T25" s="25" t="str">
        <f t="shared" si="6"/>
        <v/>
      </c>
      <c r="U25" s="26" t="str">
        <f t="shared" si="7"/>
        <v/>
      </c>
      <c r="V25" s="27"/>
    </row>
    <row r="26" spans="1:22" ht="21.75" customHeight="1" x14ac:dyDescent="0.35">
      <c r="A26" s="15"/>
      <c r="B26" s="15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 t="str">
        <f t="shared" si="0"/>
        <v/>
      </c>
      <c r="O26" s="17" t="str">
        <f t="shared" si="1"/>
        <v/>
      </c>
      <c r="P26" s="17" t="str">
        <f t="shared" si="2"/>
        <v/>
      </c>
      <c r="Q26" s="17" t="str">
        <f t="shared" si="3"/>
        <v/>
      </c>
      <c r="R26" s="17" t="str">
        <f t="shared" si="4"/>
        <v/>
      </c>
      <c r="S26" s="18" t="str">
        <f t="shared" si="5"/>
        <v/>
      </c>
      <c r="T26" s="19" t="str">
        <f t="shared" si="6"/>
        <v/>
      </c>
      <c r="U26" s="20" t="str">
        <f t="shared" si="7"/>
        <v/>
      </c>
      <c r="V26" s="21"/>
    </row>
    <row r="27" spans="1:22" ht="21.75" customHeight="1" x14ac:dyDescent="0.35">
      <c r="A27" s="22"/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4" t="str">
        <f t="shared" si="0"/>
        <v/>
      </c>
      <c r="O27" s="24" t="str">
        <f t="shared" si="1"/>
        <v/>
      </c>
      <c r="P27" s="24" t="str">
        <f t="shared" si="2"/>
        <v/>
      </c>
      <c r="Q27" s="24" t="str">
        <f t="shared" si="3"/>
        <v/>
      </c>
      <c r="R27" s="24" t="str">
        <f t="shared" si="4"/>
        <v/>
      </c>
      <c r="S27" s="18" t="str">
        <f t="shared" si="5"/>
        <v/>
      </c>
      <c r="T27" s="25" t="str">
        <f t="shared" si="6"/>
        <v/>
      </c>
      <c r="U27" s="26" t="str">
        <f t="shared" si="7"/>
        <v/>
      </c>
      <c r="V27" s="27"/>
    </row>
    <row r="28" spans="1:22" ht="21.75" customHeight="1" x14ac:dyDescent="0.35">
      <c r="A28" s="15"/>
      <c r="B28" s="15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 t="str">
        <f t="shared" si="0"/>
        <v/>
      </c>
      <c r="O28" s="17" t="str">
        <f t="shared" si="1"/>
        <v/>
      </c>
      <c r="P28" s="17" t="str">
        <f t="shared" si="2"/>
        <v/>
      </c>
      <c r="Q28" s="17" t="str">
        <f t="shared" si="3"/>
        <v/>
      </c>
      <c r="R28" s="17" t="str">
        <f t="shared" si="4"/>
        <v/>
      </c>
      <c r="S28" s="18" t="str">
        <f t="shared" si="5"/>
        <v/>
      </c>
      <c r="T28" s="19" t="str">
        <f t="shared" si="6"/>
        <v/>
      </c>
      <c r="U28" s="20" t="str">
        <f t="shared" si="7"/>
        <v/>
      </c>
      <c r="V28" s="21"/>
    </row>
    <row r="29" spans="1:22" ht="21.75" customHeight="1" x14ac:dyDescent="0.35">
      <c r="A29" s="22"/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4" t="str">
        <f t="shared" si="0"/>
        <v/>
      </c>
      <c r="O29" s="24" t="str">
        <f t="shared" si="1"/>
        <v/>
      </c>
      <c r="P29" s="24" t="str">
        <f t="shared" si="2"/>
        <v/>
      </c>
      <c r="Q29" s="24" t="str">
        <f t="shared" si="3"/>
        <v/>
      </c>
      <c r="R29" s="24" t="str">
        <f t="shared" si="4"/>
        <v/>
      </c>
      <c r="S29" s="18" t="str">
        <f t="shared" si="5"/>
        <v/>
      </c>
      <c r="T29" s="25" t="str">
        <f t="shared" si="6"/>
        <v/>
      </c>
      <c r="U29" s="26" t="str">
        <f t="shared" si="7"/>
        <v/>
      </c>
      <c r="V29" s="27"/>
    </row>
    <row r="30" spans="1:22" ht="21.75" customHeight="1" x14ac:dyDescent="0.35">
      <c r="A30" s="15"/>
      <c r="B30" s="15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 t="str">
        <f t="shared" si="0"/>
        <v/>
      </c>
      <c r="O30" s="17" t="str">
        <f t="shared" si="1"/>
        <v/>
      </c>
      <c r="P30" s="17" t="str">
        <f t="shared" si="2"/>
        <v/>
      </c>
      <c r="Q30" s="17" t="str">
        <f t="shared" si="3"/>
        <v/>
      </c>
      <c r="R30" s="17" t="str">
        <f t="shared" si="4"/>
        <v/>
      </c>
      <c r="S30" s="18" t="str">
        <f t="shared" si="5"/>
        <v/>
      </c>
      <c r="T30" s="19" t="str">
        <f t="shared" si="6"/>
        <v/>
      </c>
      <c r="U30" s="20" t="str">
        <f t="shared" si="7"/>
        <v/>
      </c>
      <c r="V30" s="21"/>
    </row>
    <row r="31" spans="1:22" ht="21.75" customHeight="1" x14ac:dyDescent="0.35">
      <c r="A31" s="22"/>
      <c r="B31" s="22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4" t="str">
        <f t="shared" si="0"/>
        <v/>
      </c>
      <c r="O31" s="24" t="str">
        <f t="shared" si="1"/>
        <v/>
      </c>
      <c r="P31" s="24" t="str">
        <f t="shared" si="2"/>
        <v/>
      </c>
      <c r="Q31" s="24" t="str">
        <f t="shared" si="3"/>
        <v/>
      </c>
      <c r="R31" s="24" t="str">
        <f t="shared" si="4"/>
        <v/>
      </c>
      <c r="S31" s="18" t="str">
        <f t="shared" si="5"/>
        <v/>
      </c>
      <c r="T31" s="25" t="str">
        <f t="shared" si="6"/>
        <v/>
      </c>
      <c r="U31" s="26" t="str">
        <f t="shared" si="7"/>
        <v/>
      </c>
      <c r="V31" s="27"/>
    </row>
    <row r="32" spans="1:22" ht="21.75" customHeight="1" x14ac:dyDescent="0.35">
      <c r="A32" s="15"/>
      <c r="B32" s="15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 t="str">
        <f t="shared" si="0"/>
        <v/>
      </c>
      <c r="O32" s="17" t="str">
        <f t="shared" si="1"/>
        <v/>
      </c>
      <c r="P32" s="17" t="str">
        <f t="shared" si="2"/>
        <v/>
      </c>
      <c r="Q32" s="17" t="str">
        <f t="shared" si="3"/>
        <v/>
      </c>
      <c r="R32" s="17" t="str">
        <f t="shared" si="4"/>
        <v/>
      </c>
      <c r="S32" s="18" t="str">
        <f t="shared" si="5"/>
        <v/>
      </c>
      <c r="T32" s="19" t="str">
        <f t="shared" si="6"/>
        <v/>
      </c>
      <c r="U32" s="20" t="str">
        <f t="shared" si="7"/>
        <v/>
      </c>
      <c r="V32" s="21"/>
    </row>
    <row r="33" spans="1:21" ht="24" customHeight="1" x14ac:dyDescent="0.35">
      <c r="A33" s="85" t="s">
        <v>28</v>
      </c>
      <c r="B33" s="85"/>
      <c r="C33" s="85"/>
      <c r="N33" s="28">
        <f t="shared" ref="N33:U33" si="9">IFERROR(AVERAGE(N8:N32),"")</f>
        <v>40.200000000000003</v>
      </c>
      <c r="O33" s="28" t="str">
        <f t="shared" si="9"/>
        <v/>
      </c>
      <c r="P33" s="28" t="str">
        <f t="shared" si="9"/>
        <v/>
      </c>
      <c r="Q33" s="28">
        <f t="shared" si="9"/>
        <v>57.333333333333336</v>
      </c>
      <c r="R33" s="28">
        <f t="shared" si="9"/>
        <v>100</v>
      </c>
      <c r="S33" s="28">
        <f t="shared" si="9"/>
        <v>52.555555555555557</v>
      </c>
      <c r="T33" s="28">
        <f t="shared" si="9"/>
        <v>0.87555555555555553</v>
      </c>
      <c r="U33" s="28">
        <f t="shared" si="9"/>
        <v>12.466666666666669</v>
      </c>
    </row>
  </sheetData>
  <mergeCells count="18">
    <mergeCell ref="H6:I6"/>
    <mergeCell ref="J6:K6"/>
    <mergeCell ref="L6:M6"/>
    <mergeCell ref="N6:V6"/>
    <mergeCell ref="A33:C33"/>
    <mergeCell ref="A6:A7"/>
    <mergeCell ref="B6:B7"/>
    <mergeCell ref="C6:C7"/>
    <mergeCell ref="D6:E6"/>
    <mergeCell ref="F6:G6"/>
    <mergeCell ref="A1:T1"/>
    <mergeCell ref="A2:T2"/>
    <mergeCell ref="A4:C4"/>
    <mergeCell ref="D4:E4"/>
    <mergeCell ref="F4:G4"/>
    <mergeCell ref="H4:I4"/>
    <mergeCell ref="J4:K4"/>
    <mergeCell ref="L4:M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65"/>
  <sheetViews>
    <sheetView showGridLines="0" zoomScaleNormal="100" workbookViewId="0">
      <pane ySplit="5" topLeftCell="A6" activePane="bottomLeft" state="frozen"/>
      <selection pane="bottomLeft" sqref="A1:I1"/>
    </sheetView>
  </sheetViews>
  <sheetFormatPr baseColWidth="10" defaultColWidth="8.6328125" defaultRowHeight="14.5" x14ac:dyDescent="0.35"/>
  <cols>
    <col min="1" max="1" width="9" customWidth="1"/>
    <col min="2" max="2" width="8" customWidth="1"/>
    <col min="3" max="7" width="10" customWidth="1"/>
    <col min="8" max="8" width="9" customWidth="1"/>
    <col min="9" max="9" width="14" customWidth="1"/>
    <col min="10" max="10" width="12" customWidth="1"/>
  </cols>
  <sheetData>
    <row r="1" spans="1:10" ht="31.5" customHeight="1" x14ac:dyDescent="0.35">
      <c r="A1" s="88" t="s">
        <v>29</v>
      </c>
      <c r="B1" s="88"/>
      <c r="C1" s="88"/>
      <c r="D1" s="88"/>
      <c r="E1" s="88"/>
      <c r="F1" s="88"/>
      <c r="G1" s="88"/>
      <c r="H1" s="88"/>
      <c r="I1" s="88"/>
    </row>
    <row r="2" spans="1:10" ht="15.75" customHeight="1" x14ac:dyDescent="0.35">
      <c r="A2" s="77" t="s">
        <v>30</v>
      </c>
      <c r="B2" s="77"/>
      <c r="C2" s="77"/>
      <c r="D2" s="77"/>
      <c r="E2" s="77"/>
      <c r="F2" s="77"/>
      <c r="G2" s="77"/>
      <c r="H2" s="77"/>
      <c r="I2" s="77"/>
    </row>
    <row r="3" spans="1:10" ht="27.75" customHeight="1" x14ac:dyDescent="0.35">
      <c r="A3" s="89" t="s">
        <v>31</v>
      </c>
      <c r="B3" s="89"/>
      <c r="C3" s="89"/>
      <c r="D3" s="89"/>
      <c r="E3" s="29">
        <f>COUNTIF(J6:J65,"✓")</f>
        <v>0</v>
      </c>
      <c r="F3" s="90" t="s">
        <v>32</v>
      </c>
      <c r="G3" s="90"/>
      <c r="H3" s="30" t="str">
        <f>ROUND(COUNTIF(J6:J65,"✓")/60*100,1)&amp;"%"</f>
        <v>0%</v>
      </c>
    </row>
    <row r="4" spans="1:10" ht="4.5" customHeight="1" x14ac:dyDescent="0.35"/>
    <row r="5" spans="1:10" ht="42" customHeight="1" x14ac:dyDescent="0.35">
      <c r="A5" s="31" t="s">
        <v>33</v>
      </c>
      <c r="B5" s="1" t="s">
        <v>34</v>
      </c>
      <c r="C5" s="32" t="s">
        <v>35</v>
      </c>
      <c r="D5" s="33" t="s">
        <v>36</v>
      </c>
      <c r="E5" s="34" t="s">
        <v>37</v>
      </c>
      <c r="F5" s="35" t="s">
        <v>38</v>
      </c>
      <c r="G5" s="36" t="s">
        <v>39</v>
      </c>
      <c r="H5" s="1" t="s">
        <v>40</v>
      </c>
      <c r="I5" s="31" t="s">
        <v>41</v>
      </c>
      <c r="J5" s="37" t="s">
        <v>42</v>
      </c>
    </row>
    <row r="6" spans="1:10" ht="18" customHeight="1" x14ac:dyDescent="0.35">
      <c r="A6" s="38">
        <v>1</v>
      </c>
      <c r="B6" s="15"/>
      <c r="C6" s="15"/>
      <c r="D6" s="15"/>
      <c r="E6" s="15"/>
      <c r="F6" s="15"/>
      <c r="G6" s="15"/>
      <c r="H6" s="38">
        <f t="shared" ref="H6:H37" si="0">COUNTIF(C6:G6,"✓")</f>
        <v>0</v>
      </c>
      <c r="I6" s="39" t="str">
        <f t="shared" ref="I6:I37" si="1">IF(H6=5,"✅ LISTO",IF(H6=0,"⏳ PENDIENTE","🔧 EN PROCESO "&amp;H6&amp;"/5"))</f>
        <v>⏳ PENDIENTE</v>
      </c>
      <c r="J6" s="15"/>
    </row>
    <row r="7" spans="1:10" ht="18" customHeight="1" x14ac:dyDescent="0.35">
      <c r="A7" s="40">
        <v>2</v>
      </c>
      <c r="B7" s="22"/>
      <c r="C7" s="22"/>
      <c r="D7" s="22"/>
      <c r="E7" s="22"/>
      <c r="F7" s="22"/>
      <c r="G7" s="22"/>
      <c r="H7" s="40">
        <f t="shared" si="0"/>
        <v>0</v>
      </c>
      <c r="I7" s="41" t="str">
        <f t="shared" si="1"/>
        <v>⏳ PENDIENTE</v>
      </c>
      <c r="J7" s="22"/>
    </row>
    <row r="8" spans="1:10" ht="18" customHeight="1" x14ac:dyDescent="0.35">
      <c r="A8" s="38">
        <v>3</v>
      </c>
      <c r="B8" s="15"/>
      <c r="C8" s="15"/>
      <c r="D8" s="15"/>
      <c r="E8" s="15"/>
      <c r="F8" s="15"/>
      <c r="G8" s="15"/>
      <c r="H8" s="38">
        <f t="shared" si="0"/>
        <v>0</v>
      </c>
      <c r="I8" s="39" t="str">
        <f t="shared" si="1"/>
        <v>⏳ PENDIENTE</v>
      </c>
      <c r="J8" s="15"/>
    </row>
    <row r="9" spans="1:10" ht="18" customHeight="1" x14ac:dyDescent="0.35">
      <c r="A9" s="40">
        <v>4</v>
      </c>
      <c r="B9" s="22"/>
      <c r="C9" s="22"/>
      <c r="D9" s="22"/>
      <c r="E9" s="22"/>
      <c r="F9" s="22"/>
      <c r="G9" s="22"/>
      <c r="H9" s="40">
        <f t="shared" si="0"/>
        <v>0</v>
      </c>
      <c r="I9" s="41" t="str">
        <f t="shared" si="1"/>
        <v>⏳ PENDIENTE</v>
      </c>
      <c r="J9" s="22"/>
    </row>
    <row r="10" spans="1:10" ht="18" customHeight="1" x14ac:dyDescent="0.35">
      <c r="A10" s="38">
        <v>5</v>
      </c>
      <c r="B10" s="15"/>
      <c r="C10" s="15"/>
      <c r="D10" s="15"/>
      <c r="E10" s="15"/>
      <c r="F10" s="15"/>
      <c r="G10" s="15"/>
      <c r="H10" s="38">
        <f t="shared" si="0"/>
        <v>0</v>
      </c>
      <c r="I10" s="39" t="str">
        <f t="shared" si="1"/>
        <v>⏳ PENDIENTE</v>
      </c>
      <c r="J10" s="15"/>
    </row>
    <row r="11" spans="1:10" ht="18" customHeight="1" x14ac:dyDescent="0.35">
      <c r="A11" s="40">
        <v>6</v>
      </c>
      <c r="B11" s="22"/>
      <c r="C11" s="22"/>
      <c r="D11" s="22"/>
      <c r="E11" s="22"/>
      <c r="F11" s="22"/>
      <c r="G11" s="22"/>
      <c r="H11" s="40">
        <f t="shared" si="0"/>
        <v>0</v>
      </c>
      <c r="I11" s="41" t="str">
        <f t="shared" si="1"/>
        <v>⏳ PENDIENTE</v>
      </c>
      <c r="J11" s="22"/>
    </row>
    <row r="12" spans="1:10" ht="18" customHeight="1" x14ac:dyDescent="0.35">
      <c r="A12" s="38">
        <v>7</v>
      </c>
      <c r="B12" s="15"/>
      <c r="C12" s="15"/>
      <c r="D12" s="15"/>
      <c r="E12" s="15"/>
      <c r="F12" s="15"/>
      <c r="G12" s="15"/>
      <c r="H12" s="38">
        <f t="shared" si="0"/>
        <v>0</v>
      </c>
      <c r="I12" s="39" t="str">
        <f t="shared" si="1"/>
        <v>⏳ PENDIENTE</v>
      </c>
      <c r="J12" s="15"/>
    </row>
    <row r="13" spans="1:10" ht="18" customHeight="1" x14ac:dyDescent="0.35">
      <c r="A13" s="40">
        <v>8</v>
      </c>
      <c r="B13" s="22"/>
      <c r="C13" s="22"/>
      <c r="D13" s="22"/>
      <c r="E13" s="22"/>
      <c r="F13" s="22"/>
      <c r="G13" s="22"/>
      <c r="H13" s="40">
        <f t="shared" si="0"/>
        <v>0</v>
      </c>
      <c r="I13" s="41" t="str">
        <f t="shared" si="1"/>
        <v>⏳ PENDIENTE</v>
      </c>
      <c r="J13" s="22"/>
    </row>
    <row r="14" spans="1:10" ht="18" customHeight="1" x14ac:dyDescent="0.35">
      <c r="A14" s="38">
        <v>9</v>
      </c>
      <c r="B14" s="15"/>
      <c r="C14" s="15"/>
      <c r="D14" s="15"/>
      <c r="E14" s="15"/>
      <c r="F14" s="15"/>
      <c r="G14" s="15"/>
      <c r="H14" s="38">
        <f t="shared" si="0"/>
        <v>0</v>
      </c>
      <c r="I14" s="39" t="str">
        <f t="shared" si="1"/>
        <v>⏳ PENDIENTE</v>
      </c>
      <c r="J14" s="15"/>
    </row>
    <row r="15" spans="1:10" ht="18" customHeight="1" x14ac:dyDescent="0.35">
      <c r="A15" s="40">
        <v>10</v>
      </c>
      <c r="B15" s="22"/>
      <c r="C15" s="22"/>
      <c r="D15" s="22"/>
      <c r="E15" s="22"/>
      <c r="F15" s="22"/>
      <c r="G15" s="22"/>
      <c r="H15" s="40">
        <f t="shared" si="0"/>
        <v>0</v>
      </c>
      <c r="I15" s="41" t="str">
        <f t="shared" si="1"/>
        <v>⏳ PENDIENTE</v>
      </c>
      <c r="J15" s="22"/>
    </row>
    <row r="16" spans="1:10" ht="18" customHeight="1" x14ac:dyDescent="0.35">
      <c r="A16" s="38">
        <v>11</v>
      </c>
      <c r="B16" s="15"/>
      <c r="C16" s="15"/>
      <c r="D16" s="15"/>
      <c r="E16" s="15"/>
      <c r="F16" s="15"/>
      <c r="G16" s="15"/>
      <c r="H16" s="38">
        <f t="shared" si="0"/>
        <v>0</v>
      </c>
      <c r="I16" s="39" t="str">
        <f t="shared" si="1"/>
        <v>⏳ PENDIENTE</v>
      </c>
      <c r="J16" s="15"/>
    </row>
    <row r="17" spans="1:10" ht="18" customHeight="1" x14ac:dyDescent="0.35">
      <c r="A17" s="40">
        <v>12</v>
      </c>
      <c r="B17" s="22"/>
      <c r="C17" s="22"/>
      <c r="D17" s="22"/>
      <c r="E17" s="22"/>
      <c r="F17" s="22"/>
      <c r="G17" s="22"/>
      <c r="H17" s="40">
        <f t="shared" si="0"/>
        <v>0</v>
      </c>
      <c r="I17" s="41" t="str">
        <f t="shared" si="1"/>
        <v>⏳ PENDIENTE</v>
      </c>
      <c r="J17" s="22"/>
    </row>
    <row r="18" spans="1:10" ht="18" customHeight="1" x14ac:dyDescent="0.35">
      <c r="A18" s="38">
        <v>13</v>
      </c>
      <c r="B18" s="15"/>
      <c r="C18" s="15"/>
      <c r="D18" s="15"/>
      <c r="E18" s="15"/>
      <c r="F18" s="15"/>
      <c r="G18" s="15"/>
      <c r="H18" s="38">
        <f t="shared" si="0"/>
        <v>0</v>
      </c>
      <c r="I18" s="39" t="str">
        <f t="shared" si="1"/>
        <v>⏳ PENDIENTE</v>
      </c>
      <c r="J18" s="15"/>
    </row>
    <row r="19" spans="1:10" ht="18" customHeight="1" x14ac:dyDescent="0.35">
      <c r="A19" s="40">
        <v>14</v>
      </c>
      <c r="B19" s="22"/>
      <c r="C19" s="22"/>
      <c r="D19" s="22"/>
      <c r="E19" s="22"/>
      <c r="F19" s="22"/>
      <c r="G19" s="22"/>
      <c r="H19" s="40">
        <f t="shared" si="0"/>
        <v>0</v>
      </c>
      <c r="I19" s="41" t="str">
        <f t="shared" si="1"/>
        <v>⏳ PENDIENTE</v>
      </c>
      <c r="J19" s="22"/>
    </row>
    <row r="20" spans="1:10" ht="18" customHeight="1" x14ac:dyDescent="0.35">
      <c r="A20" s="38">
        <v>15</v>
      </c>
      <c r="B20" s="15"/>
      <c r="C20" s="15"/>
      <c r="D20" s="15"/>
      <c r="E20" s="15"/>
      <c r="F20" s="15"/>
      <c r="G20" s="15"/>
      <c r="H20" s="38">
        <f t="shared" si="0"/>
        <v>0</v>
      </c>
      <c r="I20" s="39" t="str">
        <f t="shared" si="1"/>
        <v>⏳ PENDIENTE</v>
      </c>
      <c r="J20" s="15"/>
    </row>
    <row r="21" spans="1:10" ht="18" customHeight="1" x14ac:dyDescent="0.35">
      <c r="A21" s="40">
        <v>16</v>
      </c>
      <c r="B21" s="22"/>
      <c r="C21" s="22"/>
      <c r="D21" s="22"/>
      <c r="E21" s="22"/>
      <c r="F21" s="22"/>
      <c r="G21" s="22"/>
      <c r="H21" s="40">
        <f t="shared" si="0"/>
        <v>0</v>
      </c>
      <c r="I21" s="41" t="str">
        <f t="shared" si="1"/>
        <v>⏳ PENDIENTE</v>
      </c>
      <c r="J21" s="22"/>
    </row>
    <row r="22" spans="1:10" ht="18" customHeight="1" x14ac:dyDescent="0.35">
      <c r="A22" s="38">
        <v>17</v>
      </c>
      <c r="B22" s="15"/>
      <c r="C22" s="15"/>
      <c r="D22" s="15"/>
      <c r="E22" s="15"/>
      <c r="F22" s="15"/>
      <c r="G22" s="15"/>
      <c r="H22" s="38">
        <f t="shared" si="0"/>
        <v>0</v>
      </c>
      <c r="I22" s="39" t="str">
        <f t="shared" si="1"/>
        <v>⏳ PENDIENTE</v>
      </c>
      <c r="J22" s="15"/>
    </row>
    <row r="23" spans="1:10" ht="18" customHeight="1" x14ac:dyDescent="0.35">
      <c r="A23" s="40">
        <v>18</v>
      </c>
      <c r="B23" s="22"/>
      <c r="C23" s="22"/>
      <c r="D23" s="22"/>
      <c r="E23" s="22"/>
      <c r="F23" s="22"/>
      <c r="G23" s="22"/>
      <c r="H23" s="40">
        <f t="shared" si="0"/>
        <v>0</v>
      </c>
      <c r="I23" s="41" t="str">
        <f t="shared" si="1"/>
        <v>⏳ PENDIENTE</v>
      </c>
      <c r="J23" s="22"/>
    </row>
    <row r="24" spans="1:10" ht="18" customHeight="1" x14ac:dyDescent="0.35">
      <c r="A24" s="38">
        <v>19</v>
      </c>
      <c r="B24" s="15"/>
      <c r="C24" s="15"/>
      <c r="D24" s="15"/>
      <c r="E24" s="15"/>
      <c r="F24" s="15"/>
      <c r="G24" s="15"/>
      <c r="H24" s="38">
        <f t="shared" si="0"/>
        <v>0</v>
      </c>
      <c r="I24" s="39" t="str">
        <f t="shared" si="1"/>
        <v>⏳ PENDIENTE</v>
      </c>
      <c r="J24" s="15"/>
    </row>
    <row r="25" spans="1:10" ht="18" customHeight="1" x14ac:dyDescent="0.35">
      <c r="A25" s="40">
        <v>20</v>
      </c>
      <c r="B25" s="22"/>
      <c r="C25" s="22"/>
      <c r="D25" s="22"/>
      <c r="E25" s="22"/>
      <c r="F25" s="22"/>
      <c r="G25" s="22"/>
      <c r="H25" s="40">
        <f t="shared" si="0"/>
        <v>0</v>
      </c>
      <c r="I25" s="41" t="str">
        <f t="shared" si="1"/>
        <v>⏳ PENDIENTE</v>
      </c>
      <c r="J25" s="22"/>
    </row>
    <row r="26" spans="1:10" ht="18" customHeight="1" x14ac:dyDescent="0.35">
      <c r="A26" s="38">
        <v>21</v>
      </c>
      <c r="B26" s="15"/>
      <c r="C26" s="15"/>
      <c r="D26" s="15"/>
      <c r="E26" s="15"/>
      <c r="F26" s="15"/>
      <c r="G26" s="15"/>
      <c r="H26" s="38">
        <f t="shared" si="0"/>
        <v>0</v>
      </c>
      <c r="I26" s="39" t="str">
        <f t="shared" si="1"/>
        <v>⏳ PENDIENTE</v>
      </c>
      <c r="J26" s="15"/>
    </row>
    <row r="27" spans="1:10" ht="18" customHeight="1" x14ac:dyDescent="0.35">
      <c r="A27" s="40">
        <v>22</v>
      </c>
      <c r="B27" s="22"/>
      <c r="C27" s="22"/>
      <c r="D27" s="22"/>
      <c r="E27" s="22"/>
      <c r="F27" s="22"/>
      <c r="G27" s="22"/>
      <c r="H27" s="40">
        <f t="shared" si="0"/>
        <v>0</v>
      </c>
      <c r="I27" s="41" t="str">
        <f t="shared" si="1"/>
        <v>⏳ PENDIENTE</v>
      </c>
      <c r="J27" s="22"/>
    </row>
    <row r="28" spans="1:10" ht="18" customHeight="1" x14ac:dyDescent="0.35">
      <c r="A28" s="38">
        <v>23</v>
      </c>
      <c r="B28" s="15"/>
      <c r="C28" s="15"/>
      <c r="D28" s="15"/>
      <c r="E28" s="15"/>
      <c r="F28" s="15"/>
      <c r="G28" s="15"/>
      <c r="H28" s="38">
        <f t="shared" si="0"/>
        <v>0</v>
      </c>
      <c r="I28" s="39" t="str">
        <f t="shared" si="1"/>
        <v>⏳ PENDIENTE</v>
      </c>
      <c r="J28" s="15"/>
    </row>
    <row r="29" spans="1:10" ht="18" customHeight="1" x14ac:dyDescent="0.35">
      <c r="A29" s="40">
        <v>24</v>
      </c>
      <c r="B29" s="22"/>
      <c r="C29" s="22"/>
      <c r="D29" s="22"/>
      <c r="E29" s="22"/>
      <c r="F29" s="22"/>
      <c r="G29" s="22"/>
      <c r="H29" s="40">
        <f t="shared" si="0"/>
        <v>0</v>
      </c>
      <c r="I29" s="41" t="str">
        <f t="shared" si="1"/>
        <v>⏳ PENDIENTE</v>
      </c>
      <c r="J29" s="22"/>
    </row>
    <row r="30" spans="1:10" ht="18" customHeight="1" x14ac:dyDescent="0.35">
      <c r="A30" s="38">
        <v>25</v>
      </c>
      <c r="B30" s="15"/>
      <c r="C30" s="15"/>
      <c r="D30" s="15"/>
      <c r="E30" s="15"/>
      <c r="F30" s="15"/>
      <c r="G30" s="15"/>
      <c r="H30" s="38">
        <f t="shared" si="0"/>
        <v>0</v>
      </c>
      <c r="I30" s="39" t="str">
        <f t="shared" si="1"/>
        <v>⏳ PENDIENTE</v>
      </c>
      <c r="J30" s="15"/>
    </row>
    <row r="31" spans="1:10" ht="18" customHeight="1" x14ac:dyDescent="0.35">
      <c r="A31" s="40">
        <v>26</v>
      </c>
      <c r="B31" s="22"/>
      <c r="C31" s="22"/>
      <c r="D31" s="22"/>
      <c r="E31" s="22"/>
      <c r="F31" s="22"/>
      <c r="G31" s="22"/>
      <c r="H31" s="40">
        <f t="shared" si="0"/>
        <v>0</v>
      </c>
      <c r="I31" s="41" t="str">
        <f t="shared" si="1"/>
        <v>⏳ PENDIENTE</v>
      </c>
      <c r="J31" s="22"/>
    </row>
    <row r="32" spans="1:10" ht="18" customHeight="1" x14ac:dyDescent="0.35">
      <c r="A32" s="38">
        <v>27</v>
      </c>
      <c r="B32" s="15"/>
      <c r="C32" s="15"/>
      <c r="D32" s="15"/>
      <c r="E32" s="15"/>
      <c r="F32" s="15"/>
      <c r="G32" s="15"/>
      <c r="H32" s="38">
        <f t="shared" si="0"/>
        <v>0</v>
      </c>
      <c r="I32" s="39" t="str">
        <f t="shared" si="1"/>
        <v>⏳ PENDIENTE</v>
      </c>
      <c r="J32" s="15"/>
    </row>
    <row r="33" spans="1:10" ht="18" customHeight="1" x14ac:dyDescent="0.35">
      <c r="A33" s="40">
        <v>28</v>
      </c>
      <c r="B33" s="22"/>
      <c r="C33" s="22"/>
      <c r="D33" s="22"/>
      <c r="E33" s="22"/>
      <c r="F33" s="22"/>
      <c r="G33" s="22"/>
      <c r="H33" s="40">
        <f t="shared" si="0"/>
        <v>0</v>
      </c>
      <c r="I33" s="41" t="str">
        <f t="shared" si="1"/>
        <v>⏳ PENDIENTE</v>
      </c>
      <c r="J33" s="22"/>
    </row>
    <row r="34" spans="1:10" ht="18" customHeight="1" x14ac:dyDescent="0.35">
      <c r="A34" s="38">
        <v>29</v>
      </c>
      <c r="B34" s="15"/>
      <c r="C34" s="15"/>
      <c r="D34" s="15"/>
      <c r="E34" s="15"/>
      <c r="F34" s="15"/>
      <c r="G34" s="15"/>
      <c r="H34" s="38">
        <f t="shared" si="0"/>
        <v>0</v>
      </c>
      <c r="I34" s="39" t="str">
        <f t="shared" si="1"/>
        <v>⏳ PENDIENTE</v>
      </c>
      <c r="J34" s="15"/>
    </row>
    <row r="35" spans="1:10" ht="18" customHeight="1" x14ac:dyDescent="0.35">
      <c r="A35" s="40">
        <v>30</v>
      </c>
      <c r="B35" s="22"/>
      <c r="C35" s="22"/>
      <c r="D35" s="22"/>
      <c r="E35" s="22"/>
      <c r="F35" s="22"/>
      <c r="G35" s="22"/>
      <c r="H35" s="40">
        <f t="shared" si="0"/>
        <v>0</v>
      </c>
      <c r="I35" s="41" t="str">
        <f t="shared" si="1"/>
        <v>⏳ PENDIENTE</v>
      </c>
      <c r="J35" s="22"/>
    </row>
    <row r="36" spans="1:10" ht="18" customHeight="1" x14ac:dyDescent="0.35">
      <c r="A36" s="38">
        <v>31</v>
      </c>
      <c r="B36" s="15"/>
      <c r="C36" s="15"/>
      <c r="D36" s="15"/>
      <c r="E36" s="15"/>
      <c r="F36" s="15"/>
      <c r="G36" s="15"/>
      <c r="H36" s="38">
        <f t="shared" si="0"/>
        <v>0</v>
      </c>
      <c r="I36" s="39" t="str">
        <f t="shared" si="1"/>
        <v>⏳ PENDIENTE</v>
      </c>
      <c r="J36" s="15"/>
    </row>
    <row r="37" spans="1:10" ht="18" customHeight="1" x14ac:dyDescent="0.35">
      <c r="A37" s="40">
        <v>32</v>
      </c>
      <c r="B37" s="22"/>
      <c r="C37" s="22"/>
      <c r="D37" s="22"/>
      <c r="E37" s="22"/>
      <c r="F37" s="22"/>
      <c r="G37" s="22"/>
      <c r="H37" s="40">
        <f t="shared" si="0"/>
        <v>0</v>
      </c>
      <c r="I37" s="41" t="str">
        <f t="shared" si="1"/>
        <v>⏳ PENDIENTE</v>
      </c>
      <c r="J37" s="22"/>
    </row>
    <row r="38" spans="1:10" ht="18" customHeight="1" x14ac:dyDescent="0.35">
      <c r="A38" s="38">
        <v>33</v>
      </c>
      <c r="B38" s="15"/>
      <c r="C38" s="15"/>
      <c r="D38" s="15"/>
      <c r="E38" s="15"/>
      <c r="F38" s="15"/>
      <c r="G38" s="15"/>
      <c r="H38" s="38">
        <f t="shared" ref="H38:H65" si="2">COUNTIF(C38:G38,"✓")</f>
        <v>0</v>
      </c>
      <c r="I38" s="39" t="str">
        <f t="shared" ref="I38:I65" si="3">IF(H38=5,"✅ LISTO",IF(H38=0,"⏳ PENDIENTE","🔧 EN PROCESO "&amp;H38&amp;"/5"))</f>
        <v>⏳ PENDIENTE</v>
      </c>
      <c r="J38" s="15"/>
    </row>
    <row r="39" spans="1:10" ht="18" customHeight="1" x14ac:dyDescent="0.35">
      <c r="A39" s="40">
        <v>34</v>
      </c>
      <c r="B39" s="22"/>
      <c r="C39" s="22"/>
      <c r="D39" s="22"/>
      <c r="E39" s="22"/>
      <c r="F39" s="22"/>
      <c r="G39" s="22"/>
      <c r="H39" s="40">
        <f t="shared" si="2"/>
        <v>0</v>
      </c>
      <c r="I39" s="41" t="str">
        <f t="shared" si="3"/>
        <v>⏳ PENDIENTE</v>
      </c>
      <c r="J39" s="22"/>
    </row>
    <row r="40" spans="1:10" ht="18" customHeight="1" x14ac:dyDescent="0.35">
      <c r="A40" s="38">
        <v>35</v>
      </c>
      <c r="B40" s="15"/>
      <c r="C40" s="15"/>
      <c r="D40" s="15"/>
      <c r="E40" s="15"/>
      <c r="F40" s="15"/>
      <c r="G40" s="15"/>
      <c r="H40" s="38">
        <f t="shared" si="2"/>
        <v>0</v>
      </c>
      <c r="I40" s="39" t="str">
        <f t="shared" si="3"/>
        <v>⏳ PENDIENTE</v>
      </c>
      <c r="J40" s="15"/>
    </row>
    <row r="41" spans="1:10" ht="18" customHeight="1" x14ac:dyDescent="0.35">
      <c r="A41" s="40">
        <v>36</v>
      </c>
      <c r="B41" s="22"/>
      <c r="C41" s="22"/>
      <c r="D41" s="22"/>
      <c r="E41" s="22"/>
      <c r="F41" s="22"/>
      <c r="G41" s="22"/>
      <c r="H41" s="40">
        <f t="shared" si="2"/>
        <v>0</v>
      </c>
      <c r="I41" s="41" t="str">
        <f t="shared" si="3"/>
        <v>⏳ PENDIENTE</v>
      </c>
      <c r="J41" s="22"/>
    </row>
    <row r="42" spans="1:10" ht="18" customHeight="1" x14ac:dyDescent="0.35">
      <c r="A42" s="38">
        <v>37</v>
      </c>
      <c r="B42" s="15"/>
      <c r="C42" s="15"/>
      <c r="D42" s="15"/>
      <c r="E42" s="15"/>
      <c r="F42" s="15"/>
      <c r="G42" s="15"/>
      <c r="H42" s="38">
        <f t="shared" si="2"/>
        <v>0</v>
      </c>
      <c r="I42" s="39" t="str">
        <f t="shared" si="3"/>
        <v>⏳ PENDIENTE</v>
      </c>
      <c r="J42" s="15"/>
    </row>
    <row r="43" spans="1:10" ht="18" customHeight="1" x14ac:dyDescent="0.35">
      <c r="A43" s="40">
        <v>38</v>
      </c>
      <c r="B43" s="22"/>
      <c r="C43" s="22"/>
      <c r="D43" s="22"/>
      <c r="E43" s="22"/>
      <c r="F43" s="22"/>
      <c r="G43" s="22"/>
      <c r="H43" s="40">
        <f t="shared" si="2"/>
        <v>0</v>
      </c>
      <c r="I43" s="41" t="str">
        <f t="shared" si="3"/>
        <v>⏳ PENDIENTE</v>
      </c>
      <c r="J43" s="22"/>
    </row>
    <row r="44" spans="1:10" ht="18" customHeight="1" x14ac:dyDescent="0.35">
      <c r="A44" s="38">
        <v>39</v>
      </c>
      <c r="B44" s="15"/>
      <c r="C44" s="15"/>
      <c r="D44" s="15"/>
      <c r="E44" s="15"/>
      <c r="F44" s="15"/>
      <c r="G44" s="15"/>
      <c r="H44" s="38">
        <f t="shared" si="2"/>
        <v>0</v>
      </c>
      <c r="I44" s="39" t="str">
        <f t="shared" si="3"/>
        <v>⏳ PENDIENTE</v>
      </c>
      <c r="J44" s="15"/>
    </row>
    <row r="45" spans="1:10" ht="18" customHeight="1" x14ac:dyDescent="0.35">
      <c r="A45" s="40">
        <v>40</v>
      </c>
      <c r="B45" s="22"/>
      <c r="C45" s="22"/>
      <c r="D45" s="22"/>
      <c r="E45" s="22"/>
      <c r="F45" s="22"/>
      <c r="G45" s="22"/>
      <c r="H45" s="40">
        <f t="shared" si="2"/>
        <v>0</v>
      </c>
      <c r="I45" s="41" t="str">
        <f t="shared" si="3"/>
        <v>⏳ PENDIENTE</v>
      </c>
      <c r="J45" s="22"/>
    </row>
    <row r="46" spans="1:10" ht="18" customHeight="1" x14ac:dyDescent="0.35">
      <c r="A46" s="38">
        <v>41</v>
      </c>
      <c r="B46" s="15"/>
      <c r="C46" s="15"/>
      <c r="D46" s="15"/>
      <c r="E46" s="15"/>
      <c r="F46" s="15"/>
      <c r="G46" s="15"/>
      <c r="H46" s="38">
        <f t="shared" si="2"/>
        <v>0</v>
      </c>
      <c r="I46" s="39" t="str">
        <f t="shared" si="3"/>
        <v>⏳ PENDIENTE</v>
      </c>
      <c r="J46" s="15"/>
    </row>
    <row r="47" spans="1:10" ht="18" customHeight="1" x14ac:dyDescent="0.35">
      <c r="A47" s="40">
        <v>42</v>
      </c>
      <c r="B47" s="22"/>
      <c r="C47" s="22"/>
      <c r="D47" s="22"/>
      <c r="E47" s="22"/>
      <c r="F47" s="22"/>
      <c r="G47" s="22"/>
      <c r="H47" s="40">
        <f t="shared" si="2"/>
        <v>0</v>
      </c>
      <c r="I47" s="41" t="str">
        <f t="shared" si="3"/>
        <v>⏳ PENDIENTE</v>
      </c>
      <c r="J47" s="22"/>
    </row>
    <row r="48" spans="1:10" ht="18" customHeight="1" x14ac:dyDescent="0.35">
      <c r="A48" s="38">
        <v>43</v>
      </c>
      <c r="B48" s="15"/>
      <c r="C48" s="15"/>
      <c r="D48" s="15"/>
      <c r="E48" s="15"/>
      <c r="F48" s="15"/>
      <c r="G48" s="15"/>
      <c r="H48" s="38">
        <f t="shared" si="2"/>
        <v>0</v>
      </c>
      <c r="I48" s="39" t="str">
        <f t="shared" si="3"/>
        <v>⏳ PENDIENTE</v>
      </c>
      <c r="J48" s="15"/>
    </row>
    <row r="49" spans="1:10" ht="18" customHeight="1" x14ac:dyDescent="0.35">
      <c r="A49" s="40">
        <v>44</v>
      </c>
      <c r="B49" s="22"/>
      <c r="C49" s="22"/>
      <c r="D49" s="22"/>
      <c r="E49" s="22"/>
      <c r="F49" s="22"/>
      <c r="G49" s="22"/>
      <c r="H49" s="40">
        <f t="shared" si="2"/>
        <v>0</v>
      </c>
      <c r="I49" s="41" t="str">
        <f t="shared" si="3"/>
        <v>⏳ PENDIENTE</v>
      </c>
      <c r="J49" s="22"/>
    </row>
    <row r="50" spans="1:10" ht="18" customHeight="1" x14ac:dyDescent="0.35">
      <c r="A50" s="38">
        <v>45</v>
      </c>
      <c r="B50" s="15"/>
      <c r="C50" s="15"/>
      <c r="D50" s="15"/>
      <c r="E50" s="15"/>
      <c r="F50" s="15"/>
      <c r="G50" s="15"/>
      <c r="H50" s="38">
        <f t="shared" si="2"/>
        <v>0</v>
      </c>
      <c r="I50" s="39" t="str">
        <f t="shared" si="3"/>
        <v>⏳ PENDIENTE</v>
      </c>
      <c r="J50" s="15"/>
    </row>
    <row r="51" spans="1:10" ht="18" customHeight="1" x14ac:dyDescent="0.35">
      <c r="A51" s="40">
        <v>46</v>
      </c>
      <c r="B51" s="22"/>
      <c r="C51" s="22"/>
      <c r="D51" s="22"/>
      <c r="E51" s="22"/>
      <c r="F51" s="22"/>
      <c r="G51" s="22"/>
      <c r="H51" s="40">
        <f t="shared" si="2"/>
        <v>0</v>
      </c>
      <c r="I51" s="41" t="str">
        <f t="shared" si="3"/>
        <v>⏳ PENDIENTE</v>
      </c>
      <c r="J51" s="22"/>
    </row>
    <row r="52" spans="1:10" ht="18" customHeight="1" x14ac:dyDescent="0.35">
      <c r="A52" s="38">
        <v>47</v>
      </c>
      <c r="B52" s="15"/>
      <c r="C52" s="15"/>
      <c r="D52" s="15"/>
      <c r="E52" s="15"/>
      <c r="F52" s="15"/>
      <c r="G52" s="15"/>
      <c r="H52" s="38">
        <f t="shared" si="2"/>
        <v>0</v>
      </c>
      <c r="I52" s="39" t="str">
        <f t="shared" si="3"/>
        <v>⏳ PENDIENTE</v>
      </c>
      <c r="J52" s="15"/>
    </row>
    <row r="53" spans="1:10" ht="18" customHeight="1" x14ac:dyDescent="0.35">
      <c r="A53" s="40">
        <v>48</v>
      </c>
      <c r="B53" s="22"/>
      <c r="C53" s="22"/>
      <c r="D53" s="22"/>
      <c r="E53" s="22"/>
      <c r="F53" s="22"/>
      <c r="G53" s="22"/>
      <c r="H53" s="40">
        <f t="shared" si="2"/>
        <v>0</v>
      </c>
      <c r="I53" s="41" t="str">
        <f t="shared" si="3"/>
        <v>⏳ PENDIENTE</v>
      </c>
      <c r="J53" s="22"/>
    </row>
    <row r="54" spans="1:10" ht="18" customHeight="1" x14ac:dyDescent="0.35">
      <c r="A54" s="38">
        <v>49</v>
      </c>
      <c r="B54" s="15"/>
      <c r="C54" s="15"/>
      <c r="D54" s="15"/>
      <c r="E54" s="15"/>
      <c r="F54" s="15"/>
      <c r="G54" s="15"/>
      <c r="H54" s="38">
        <f t="shared" si="2"/>
        <v>0</v>
      </c>
      <c r="I54" s="39" t="str">
        <f t="shared" si="3"/>
        <v>⏳ PENDIENTE</v>
      </c>
      <c r="J54" s="15"/>
    </row>
    <row r="55" spans="1:10" ht="18" customHeight="1" x14ac:dyDescent="0.35">
      <c r="A55" s="40">
        <v>50</v>
      </c>
      <c r="B55" s="22"/>
      <c r="C55" s="22"/>
      <c r="D55" s="22"/>
      <c r="E55" s="22"/>
      <c r="F55" s="22"/>
      <c r="G55" s="22"/>
      <c r="H55" s="40">
        <f t="shared" si="2"/>
        <v>0</v>
      </c>
      <c r="I55" s="41" t="str">
        <f t="shared" si="3"/>
        <v>⏳ PENDIENTE</v>
      </c>
      <c r="J55" s="22"/>
    </row>
    <row r="56" spans="1:10" ht="18" customHeight="1" x14ac:dyDescent="0.35">
      <c r="A56" s="38">
        <v>51</v>
      </c>
      <c r="B56" s="15"/>
      <c r="C56" s="15"/>
      <c r="D56" s="15"/>
      <c r="E56" s="15"/>
      <c r="F56" s="15"/>
      <c r="G56" s="15"/>
      <c r="H56" s="38">
        <f t="shared" si="2"/>
        <v>0</v>
      </c>
      <c r="I56" s="39" t="str">
        <f t="shared" si="3"/>
        <v>⏳ PENDIENTE</v>
      </c>
      <c r="J56" s="15"/>
    </row>
    <row r="57" spans="1:10" ht="18" customHeight="1" x14ac:dyDescent="0.35">
      <c r="A57" s="40">
        <v>52</v>
      </c>
      <c r="B57" s="22"/>
      <c r="C57" s="22"/>
      <c r="D57" s="22"/>
      <c r="E57" s="22"/>
      <c r="F57" s="22"/>
      <c r="G57" s="22"/>
      <c r="H57" s="40">
        <f t="shared" si="2"/>
        <v>0</v>
      </c>
      <c r="I57" s="41" t="str">
        <f t="shared" si="3"/>
        <v>⏳ PENDIENTE</v>
      </c>
      <c r="J57" s="22"/>
    </row>
    <row r="58" spans="1:10" ht="18" customHeight="1" x14ac:dyDescent="0.35">
      <c r="A58" s="38">
        <v>53</v>
      </c>
      <c r="B58" s="15"/>
      <c r="C58" s="15"/>
      <c r="D58" s="15"/>
      <c r="E58" s="15"/>
      <c r="F58" s="15"/>
      <c r="G58" s="15"/>
      <c r="H58" s="38">
        <f t="shared" si="2"/>
        <v>0</v>
      </c>
      <c r="I58" s="39" t="str">
        <f t="shared" si="3"/>
        <v>⏳ PENDIENTE</v>
      </c>
      <c r="J58" s="15"/>
    </row>
    <row r="59" spans="1:10" ht="18" customHeight="1" x14ac:dyDescent="0.35">
      <c r="A59" s="40">
        <v>54</v>
      </c>
      <c r="B59" s="22"/>
      <c r="C59" s="22"/>
      <c r="D59" s="22"/>
      <c r="E59" s="22"/>
      <c r="F59" s="22"/>
      <c r="G59" s="22"/>
      <c r="H59" s="40">
        <f t="shared" si="2"/>
        <v>0</v>
      </c>
      <c r="I59" s="41" t="str">
        <f t="shared" si="3"/>
        <v>⏳ PENDIENTE</v>
      </c>
      <c r="J59" s="22"/>
    </row>
    <row r="60" spans="1:10" ht="18" customHeight="1" x14ac:dyDescent="0.35">
      <c r="A60" s="38">
        <v>55</v>
      </c>
      <c r="B60" s="15"/>
      <c r="C60" s="15"/>
      <c r="D60" s="15"/>
      <c r="E60" s="15"/>
      <c r="F60" s="15"/>
      <c r="G60" s="15"/>
      <c r="H60" s="38">
        <f t="shared" si="2"/>
        <v>0</v>
      </c>
      <c r="I60" s="39" t="str">
        <f t="shared" si="3"/>
        <v>⏳ PENDIENTE</v>
      </c>
      <c r="J60" s="15"/>
    </row>
    <row r="61" spans="1:10" ht="18" customHeight="1" x14ac:dyDescent="0.35">
      <c r="A61" s="40">
        <v>56</v>
      </c>
      <c r="B61" s="22"/>
      <c r="C61" s="22"/>
      <c r="D61" s="22"/>
      <c r="E61" s="22"/>
      <c r="F61" s="22"/>
      <c r="G61" s="22"/>
      <c r="H61" s="40">
        <f t="shared" si="2"/>
        <v>0</v>
      </c>
      <c r="I61" s="41" t="str">
        <f t="shared" si="3"/>
        <v>⏳ PENDIENTE</v>
      </c>
      <c r="J61" s="22"/>
    </row>
    <row r="62" spans="1:10" ht="18" customHeight="1" x14ac:dyDescent="0.35">
      <c r="A62" s="38">
        <v>57</v>
      </c>
      <c r="B62" s="15"/>
      <c r="C62" s="15"/>
      <c r="D62" s="15"/>
      <c r="E62" s="15"/>
      <c r="F62" s="15"/>
      <c r="G62" s="15"/>
      <c r="H62" s="38">
        <f t="shared" si="2"/>
        <v>0</v>
      </c>
      <c r="I62" s="39" t="str">
        <f t="shared" si="3"/>
        <v>⏳ PENDIENTE</v>
      </c>
      <c r="J62" s="15"/>
    </row>
    <row r="63" spans="1:10" ht="18" customHeight="1" x14ac:dyDescent="0.35">
      <c r="A63" s="40">
        <v>58</v>
      </c>
      <c r="B63" s="22"/>
      <c r="C63" s="22"/>
      <c r="D63" s="22"/>
      <c r="E63" s="22"/>
      <c r="F63" s="22"/>
      <c r="G63" s="22"/>
      <c r="H63" s="40">
        <f t="shared" si="2"/>
        <v>0</v>
      </c>
      <c r="I63" s="41" t="str">
        <f t="shared" si="3"/>
        <v>⏳ PENDIENTE</v>
      </c>
      <c r="J63" s="22"/>
    </row>
    <row r="64" spans="1:10" ht="18" customHeight="1" x14ac:dyDescent="0.35">
      <c r="A64" s="38">
        <v>59</v>
      </c>
      <c r="B64" s="15"/>
      <c r="C64" s="15"/>
      <c r="D64" s="15"/>
      <c r="E64" s="15"/>
      <c r="F64" s="15"/>
      <c r="G64" s="15"/>
      <c r="H64" s="38">
        <f t="shared" si="2"/>
        <v>0</v>
      </c>
      <c r="I64" s="39" t="str">
        <f t="shared" si="3"/>
        <v>⏳ PENDIENTE</v>
      </c>
      <c r="J64" s="15"/>
    </row>
    <row r="65" spans="1:10" ht="18" customHeight="1" x14ac:dyDescent="0.35">
      <c r="A65" s="40">
        <v>60</v>
      </c>
      <c r="B65" s="22"/>
      <c r="C65" s="22"/>
      <c r="D65" s="22"/>
      <c r="E65" s="22"/>
      <c r="F65" s="22"/>
      <c r="G65" s="22"/>
      <c r="H65" s="40">
        <f t="shared" si="2"/>
        <v>0</v>
      </c>
      <c r="I65" s="41" t="str">
        <f t="shared" si="3"/>
        <v>⏳ PENDIENTE</v>
      </c>
      <c r="J65" s="22"/>
    </row>
  </sheetData>
  <mergeCells count="4">
    <mergeCell ref="A1:I1"/>
    <mergeCell ref="A2:I2"/>
    <mergeCell ref="A3:D3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18"/>
  <sheetViews>
    <sheetView showGridLines="0" topLeftCell="A3" zoomScaleNormal="100" workbookViewId="0">
      <selection sqref="A1:G1"/>
    </sheetView>
  </sheetViews>
  <sheetFormatPr baseColWidth="10" defaultColWidth="8.6328125" defaultRowHeight="14.5" x14ac:dyDescent="0.35"/>
  <cols>
    <col min="1" max="1" width="24" customWidth="1"/>
    <col min="2" max="2" width="12" customWidth="1"/>
    <col min="3" max="4" width="13" customWidth="1"/>
    <col min="5" max="5" width="15" customWidth="1"/>
    <col min="6" max="6" width="12" customWidth="1"/>
    <col min="7" max="7" width="18" customWidth="1"/>
  </cols>
  <sheetData>
    <row r="1" spans="1:7" ht="31.5" customHeight="1" x14ac:dyDescent="0.35">
      <c r="A1" s="88" t="s">
        <v>43</v>
      </c>
      <c r="B1" s="88"/>
      <c r="C1" s="88"/>
      <c r="D1" s="88"/>
      <c r="E1" s="88"/>
      <c r="F1" s="88"/>
      <c r="G1" s="88"/>
    </row>
    <row r="3" spans="1:7" ht="21.75" customHeight="1" x14ac:dyDescent="0.35">
      <c r="A3" s="93" t="s">
        <v>44</v>
      </c>
      <c r="B3" s="93"/>
      <c r="C3" s="93"/>
      <c r="D3" s="93"/>
      <c r="E3" s="93"/>
      <c r="F3" s="93"/>
      <c r="G3" s="93"/>
    </row>
    <row r="4" spans="1:7" ht="30" customHeight="1" x14ac:dyDescent="0.3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</row>
    <row r="5" spans="1:7" ht="21.75" customHeight="1" x14ac:dyDescent="0.35">
      <c r="A5" s="42" t="s">
        <v>52</v>
      </c>
      <c r="B5" s="43"/>
      <c r="C5" s="44">
        <f>IFERROR(AVERAGE('Registro por lote'!N8:N32),"")</f>
        <v>40.200000000000003</v>
      </c>
      <c r="D5" s="44" t="str">
        <f>IFERROR(MIN(IF('Registro por lote'!N8:N32&lt;&gt;"",'Registro por lote'!N8:N32)),"")</f>
        <v/>
      </c>
      <c r="E5" s="44">
        <f>IFERROR(MAX('Registro por lote'!N8:N32),"")</f>
        <v>60</v>
      </c>
      <c r="F5" s="45">
        <f>IFERROR(C5/SUM($C$5:$C$9)*100,"")</f>
        <v>20.350995612554847</v>
      </c>
      <c r="G5" s="46" t="str">
        <f>IF(C5=MAX($C$5:$C$9),"⚠️ CUELLO DE BOTELLA","")</f>
        <v/>
      </c>
    </row>
    <row r="6" spans="1:7" ht="21.75" customHeight="1" x14ac:dyDescent="0.35">
      <c r="A6" s="47" t="s">
        <v>53</v>
      </c>
      <c r="B6" s="48"/>
      <c r="C6" s="49" t="str">
        <f>IFERROR(AVERAGE('Registro por lote'!O8:O32),"")</f>
        <v/>
      </c>
      <c r="D6" s="49" t="str">
        <f>IFERROR(MIN(IF('Registro por lote'!O8:O32&lt;&gt;"",'Registro por lote'!O8:O32)),"")</f>
        <v/>
      </c>
      <c r="E6" s="49">
        <f>IFERROR(MAX('Registro por lote'!O8:O32),"")</f>
        <v>0</v>
      </c>
      <c r="F6" s="50" t="str">
        <f>IFERROR(C6/SUM($C$5:$C$9)*100,"")</f>
        <v/>
      </c>
      <c r="G6" s="51" t="str">
        <f>IF(C6=MAX($C$5:$C$9),"⚠️ CUELLO DE BOTELLA","")</f>
        <v/>
      </c>
    </row>
    <row r="7" spans="1:7" ht="21.75" customHeight="1" x14ac:dyDescent="0.35">
      <c r="A7" s="52" t="s">
        <v>54</v>
      </c>
      <c r="B7" s="53"/>
      <c r="C7" s="54" t="str">
        <f>IFERROR(AVERAGE('Registro por lote'!P8:P32),"")</f>
        <v/>
      </c>
      <c r="D7" s="54" t="str">
        <f>IFERROR(MIN(IF('Registro por lote'!P8:P32&lt;&gt;"",'Registro por lote'!P8:P32)),"")</f>
        <v/>
      </c>
      <c r="E7" s="54">
        <f>IFERROR(MAX('Registro por lote'!P8:P32),"")</f>
        <v>0</v>
      </c>
      <c r="F7" s="55" t="str">
        <f>IFERROR(C7/SUM($C$5:$C$9)*100,"")</f>
        <v/>
      </c>
      <c r="G7" s="56" t="str">
        <f>IF(C7=MAX($C$5:$C$9),"⚠️ CUELLO DE BOTELLA","")</f>
        <v/>
      </c>
    </row>
    <row r="8" spans="1:7" ht="21.75" customHeight="1" x14ac:dyDescent="0.35">
      <c r="A8" s="57" t="s">
        <v>55</v>
      </c>
      <c r="B8" s="58"/>
      <c r="C8" s="59">
        <f>IFERROR(AVERAGE('Registro por lote'!Q8:Q32),"")</f>
        <v>57.333333333333336</v>
      </c>
      <c r="D8" s="59">
        <f>IFERROR(MIN(IF('Registro por lote'!Q8:Q32&lt;&gt;"",'Registro por lote'!Q8:Q32)),"")</f>
        <v>0</v>
      </c>
      <c r="E8" s="59">
        <f>IFERROR(MAX('Registro por lote'!Q8:Q32),"")</f>
        <v>95</v>
      </c>
      <c r="F8" s="60">
        <f>IFERROR(C8/SUM($C$5:$C$9)*100,"")</f>
        <v>29.024637192035101</v>
      </c>
      <c r="G8" s="61" t="str">
        <f>IF(C8=MAX($C$5:$C$9),"⚠️ CUELLO DE BOTELLA","")</f>
        <v/>
      </c>
    </row>
    <row r="9" spans="1:7" ht="21.75" customHeight="1" x14ac:dyDescent="0.35">
      <c r="A9" s="62" t="s">
        <v>56</v>
      </c>
      <c r="B9" s="63"/>
      <c r="C9" s="64">
        <f>IFERROR(AVERAGE('Registro por lote'!R8:R32),"")</f>
        <v>100</v>
      </c>
      <c r="D9" s="64">
        <f>IFERROR(MIN(IF('Registro por lote'!R8:R32&lt;&gt;"",'Registro por lote'!R8:R32)),"")</f>
        <v>0</v>
      </c>
      <c r="E9" s="64">
        <f>IFERROR(MAX('Registro por lote'!R8:R32),"")</f>
        <v>100</v>
      </c>
      <c r="F9" s="65">
        <f>IFERROR(C9/SUM($C$5:$C$9)*100,"")</f>
        <v>50.624367195410059</v>
      </c>
      <c r="G9" s="66" t="str">
        <f>IF(C9=MAX($C$5:$C$9),"⚠️ CUELLO DE BOTELLA","")</f>
        <v>⚠️ CUELLO DE BOTELLA</v>
      </c>
    </row>
    <row r="10" spans="1:7" ht="24" customHeight="1" x14ac:dyDescent="0.35">
      <c r="A10" s="85" t="s">
        <v>57</v>
      </c>
      <c r="B10" s="85"/>
      <c r="C10" s="67">
        <f>IFERROR(SUM(C5:C9),"")</f>
        <v>197.53333333333333</v>
      </c>
      <c r="D10" s="68">
        <f>IFERROR(C10/60,"")</f>
        <v>3.2922222222222222</v>
      </c>
    </row>
    <row r="12" spans="1:7" ht="9.75" customHeight="1" x14ac:dyDescent="0.35"/>
    <row r="13" spans="1:7" ht="21.75" customHeight="1" x14ac:dyDescent="0.35">
      <c r="A13" s="93" t="s">
        <v>58</v>
      </c>
      <c r="B13" s="93"/>
      <c r="C13" s="93"/>
      <c r="D13" s="93"/>
      <c r="E13" s="93"/>
      <c r="F13" s="93"/>
      <c r="G13" s="93"/>
    </row>
    <row r="14" spans="1:7" ht="21.75" customHeight="1" x14ac:dyDescent="0.35">
      <c r="A14" s="92" t="s">
        <v>59</v>
      </c>
      <c r="B14" s="92"/>
      <c r="C14" s="92"/>
      <c r="D14" s="92"/>
      <c r="E14" s="69">
        <f>IFERROR(C10*60,"")</f>
        <v>11852</v>
      </c>
    </row>
    <row r="15" spans="1:7" ht="21.75" customHeight="1" x14ac:dyDescent="0.35">
      <c r="A15" s="91" t="s">
        <v>59</v>
      </c>
      <c r="B15" s="91"/>
      <c r="C15" s="91"/>
      <c r="D15" s="91"/>
      <c r="E15" s="70">
        <f>IFERROR(C10*60/60,"")</f>
        <v>197.53333333333333</v>
      </c>
    </row>
    <row r="16" spans="1:7" ht="21.75" customHeight="1" x14ac:dyDescent="0.35">
      <c r="A16" s="92" t="s">
        <v>60</v>
      </c>
      <c r="B16" s="92"/>
      <c r="C16" s="92"/>
      <c r="D16" s="92"/>
      <c r="E16" s="71">
        <f>IFERROR(C10*60*0.6,"")</f>
        <v>7111.2</v>
      </c>
    </row>
    <row r="17" spans="1:5" ht="21.75" customHeight="1" x14ac:dyDescent="0.35">
      <c r="A17" s="91" t="s">
        <v>61</v>
      </c>
      <c r="B17" s="91"/>
      <c r="C17" s="91"/>
      <c r="D17" s="91"/>
      <c r="E17" s="72">
        <f>IFERROR('Seguimiento 60 Racks'!E3,"")</f>
        <v>0</v>
      </c>
    </row>
    <row r="18" spans="1:5" ht="21.75" customHeight="1" x14ac:dyDescent="0.35">
      <c r="A18" s="92" t="s">
        <v>62</v>
      </c>
      <c r="B18" s="92"/>
      <c r="C18" s="92"/>
      <c r="D18" s="92"/>
      <c r="E18" s="73">
        <f>IFERROR('Seguimiento 60 Racks'!E3/60*100,"")</f>
        <v>0</v>
      </c>
    </row>
  </sheetData>
  <mergeCells count="9">
    <mergeCell ref="A15:D15"/>
    <mergeCell ref="A16:D16"/>
    <mergeCell ref="A17:D17"/>
    <mergeCell ref="A18:D18"/>
    <mergeCell ref="A1:G1"/>
    <mergeCell ref="A3:G3"/>
    <mergeCell ref="A10:B10"/>
    <mergeCell ref="A13:G1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4EA76F1D33441B995F5D9F25278BC" ma:contentTypeVersion="4" ma:contentTypeDescription="Create a new document." ma:contentTypeScope="" ma:versionID="f15c6f48f5818fc58a9c87da8c100f2a">
  <xsd:schema xmlns:xsd="http://www.w3.org/2001/XMLSchema" xmlns:xs="http://www.w3.org/2001/XMLSchema" xmlns:p="http://schemas.microsoft.com/office/2006/metadata/properties" xmlns:ns3="3ed175ce-9011-4162-ae52-0993d4daf270" targetNamespace="http://schemas.microsoft.com/office/2006/metadata/properties" ma:root="true" ma:fieldsID="237d2f34c22b2010f9dc7b3236d8aa6b" ns3:_="">
    <xsd:import namespace="3ed175ce-9011-4162-ae52-0993d4daf2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175ce-9011-4162-ae52-0993d4daf2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CA1A1B-3641-4F12-98AF-46B320425FDB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3ed175ce-9011-4162-ae52-0993d4daf270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172714E-558D-4662-82FB-E1E46A9EA3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9A8F77-D49F-47AC-9929-D36B80BC5F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175ce-9011-4162-ae52-0993d4daf2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por lote</vt:lpstr>
      <vt:lpstr>Seguimiento 60 Racks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GERMANN Benjamin Esteban</cp:lastModifiedBy>
  <cp:revision>0</cp:revision>
  <dcterms:created xsi:type="dcterms:W3CDTF">2026-06-02T21:53:34Z</dcterms:created>
  <dcterms:modified xsi:type="dcterms:W3CDTF">2026-06-09T12:12:11Z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0x0101009164EA76F1D33441B995F5D9F25278BC</vt:lpwstr>
  </property>
</Properties>
</file>